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\Documents\Vitor\Curso excel avançado\Dashboard Vendas Vendedor\"/>
    </mc:Choice>
  </mc:AlternateContent>
  <xr:revisionPtr revIDLastSave="0" documentId="13_ncr:1_{69F47FC9-471E-435C-B8B2-495CB9FE1F95}" xr6:coauthVersionLast="47" xr6:coauthVersionMax="47" xr10:uidLastSave="{00000000-0000-0000-0000-000000000000}"/>
  <bookViews>
    <workbookView xWindow="-120" yWindow="-120" windowWidth="29040" windowHeight="15720" xr2:uid="{899214EE-B51D-4446-AC56-B680CE1E289C}"/>
  </bookViews>
  <sheets>
    <sheet name="Vendas" sheetId="1" r:id="rId1"/>
    <sheet name="Dados Vendedor" sheetId="2" state="hidden" r:id="rId2"/>
    <sheet name="Imagens" sheetId="3" state="hidden" r:id="rId3"/>
    <sheet name="Pivot" sheetId="4" state="hidden" r:id="rId4"/>
    <sheet name="Dash Vendas" sheetId="5" r:id="rId5"/>
    <sheet name="Grafico Velocimetro" sheetId="6" state="hidden" r:id="rId6"/>
    <sheet name="Planilha1" sheetId="7" state="hidden" r:id="rId7"/>
  </sheets>
  <definedNames>
    <definedName name="SegmentaçãodeDados_Vendedor">#N/A</definedName>
  </definedNames>
  <calcPr calcId="181029"/>
  <pivotCaches>
    <pivotCache cacheId="12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7" l="1"/>
  <c r="K11" i="7"/>
  <c r="J11" i="7"/>
  <c r="J10" i="7" s="1"/>
  <c r="J9" i="7" s="1"/>
  <c r="J8" i="7" s="1"/>
  <c r="J7" i="7" s="1"/>
  <c r="J6" i="7" s="1"/>
  <c r="J5" i="7" s="1"/>
  <c r="J4" i="7" s="1"/>
  <c r="I11" i="7"/>
  <c r="I10" i="7" s="1"/>
  <c r="I9" i="7" s="1"/>
  <c r="I8" i="7" s="1"/>
  <c r="I7" i="7" s="1"/>
  <c r="I6" i="7" s="1"/>
  <c r="I5" i="7" s="1"/>
  <c r="I4" i="7" s="1"/>
  <c r="H11" i="7"/>
  <c r="H10" i="7" s="1"/>
  <c r="H9" i="7" s="1"/>
  <c r="H8" i="7" s="1"/>
  <c r="H7" i="7" s="1"/>
  <c r="H6" i="7" s="1"/>
  <c r="H5" i="7" s="1"/>
  <c r="H4" i="7" s="1"/>
  <c r="G11" i="7"/>
  <c r="G10" i="7" s="1"/>
  <c r="G9" i="7" s="1"/>
  <c r="G8" i="7" s="1"/>
  <c r="G7" i="7" s="1"/>
  <c r="G6" i="7" s="1"/>
  <c r="G5" i="7" s="1"/>
  <c r="G4" i="7" s="1"/>
  <c r="F11" i="7"/>
  <c r="F10" i="7" s="1"/>
  <c r="F9" i="7" s="1"/>
  <c r="F8" i="7" s="1"/>
  <c r="F7" i="7" s="1"/>
  <c r="F6" i="7" s="1"/>
  <c r="F5" i="7" s="1"/>
  <c r="F4" i="7" s="1"/>
  <c r="E11" i="7"/>
  <c r="E10" i="7" s="1"/>
  <c r="E9" i="7" s="1"/>
  <c r="E8" i="7" s="1"/>
  <c r="E7" i="7" s="1"/>
  <c r="E6" i="7" s="1"/>
  <c r="E5" i="7" s="1"/>
  <c r="E4" i="7" s="1"/>
  <c r="D11" i="7"/>
  <c r="D10" i="7" s="1"/>
  <c r="D9" i="7" s="1"/>
  <c r="D8" i="7" s="1"/>
  <c r="D7" i="7" s="1"/>
  <c r="D6" i="7" s="1"/>
  <c r="D5" i="7" s="1"/>
  <c r="D4" i="7" s="1"/>
  <c r="C11" i="7"/>
  <c r="C10" i="7" s="1"/>
  <c r="C9" i="7" s="1"/>
  <c r="C8" i="7" s="1"/>
  <c r="C7" i="7" s="1"/>
  <c r="C6" i="7" s="1"/>
  <c r="C5" i="7" s="1"/>
  <c r="C4" i="7" s="1"/>
  <c r="L10" i="7"/>
  <c r="L9" i="7" s="1"/>
  <c r="L8" i="7" s="1"/>
  <c r="L7" i="7" s="1"/>
  <c r="L6" i="7" s="1"/>
  <c r="L5" i="7" s="1"/>
  <c r="L4" i="7" s="1"/>
  <c r="K10" i="7"/>
  <c r="K9" i="7" s="1"/>
  <c r="K8" i="7" s="1"/>
  <c r="K7" i="7" s="1"/>
  <c r="K6" i="7" s="1"/>
  <c r="K5" i="7" s="1"/>
  <c r="K4" i="7" s="1"/>
  <c r="D12" i="7"/>
  <c r="E12" i="7"/>
  <c r="F12" i="7"/>
  <c r="G12" i="7"/>
  <c r="H12" i="7"/>
  <c r="I12" i="7"/>
  <c r="J12" i="7"/>
  <c r="K12" i="7"/>
  <c r="L12" i="7"/>
  <c r="C12" i="7"/>
  <c r="E13" i="7"/>
  <c r="F13" i="7" s="1"/>
  <c r="G13" i="7" s="1"/>
  <c r="H13" i="7" s="1"/>
  <c r="I13" i="7" s="1"/>
  <c r="J13" i="7" s="1"/>
  <c r="K13" i="7" s="1"/>
  <c r="L13" i="7" s="1"/>
  <c r="D13" i="7"/>
  <c r="K12" i="5" a="1"/>
  <c r="K12" i="5" s="1"/>
  <c r="K13" i="5" a="1"/>
  <c r="K13" i="5" s="1"/>
  <c r="K14" i="5" a="1"/>
  <c r="K14" i="5" s="1"/>
  <c r="K15" i="5" a="1"/>
  <c r="K15" i="5" s="1"/>
  <c r="K16" i="5" a="1"/>
  <c r="K16" i="5" s="1"/>
  <c r="K17" i="5" a="1"/>
  <c r="K17" i="5" s="1"/>
  <c r="K18" i="5" a="1"/>
  <c r="K18" i="5" s="1"/>
  <c r="K19" i="5" a="1"/>
  <c r="K19" i="5" s="1"/>
  <c r="K20" i="5" a="1"/>
  <c r="K20" i="5" s="1"/>
  <c r="K21" i="5" a="1"/>
  <c r="K21" i="5" s="1"/>
  <c r="L13" i="5" a="1"/>
  <c r="L13" i="5" s="1"/>
  <c r="L14" i="5" a="1"/>
  <c r="L14" i="5" s="1"/>
  <c r="L15" i="5" a="1"/>
  <c r="L15" i="5" s="1"/>
  <c r="L16" i="5" a="1"/>
  <c r="L16" i="5" s="1"/>
  <c r="L17" i="5" a="1"/>
  <c r="L17" i="5" s="1"/>
  <c r="L18" i="5" a="1"/>
  <c r="L18" i="5" s="1"/>
  <c r="L19" i="5" a="1"/>
  <c r="L19" i="5" s="1"/>
  <c r="L20" i="5" a="1"/>
  <c r="L20" i="5" s="1"/>
  <c r="L21" i="5" a="1"/>
  <c r="L21" i="5" s="1"/>
  <c r="L22" i="5" a="1"/>
  <c r="L22" i="5" s="1"/>
  <c r="K22" i="5" a="1"/>
  <c r="K22" i="5" s="1"/>
  <c r="L12" i="5" a="1"/>
  <c r="L12" i="5" s="1"/>
  <c r="A20" i="6"/>
  <c r="B10" i="6"/>
  <c r="B12" i="6" s="1"/>
  <c r="B5" i="6"/>
  <c r="B4" i="6"/>
  <c r="B3" i="6"/>
  <c r="B2" i="6"/>
  <c r="A17" i="6" l="1"/>
  <c r="A1" i="7" s="1"/>
</calcChain>
</file>

<file path=xl/sharedStrings.xml><?xml version="1.0" encoding="utf-8"?>
<sst xmlns="http://schemas.openxmlformats.org/spreadsheetml/2006/main" count="191" uniqueCount="62">
  <si>
    <t>Vendedor</t>
  </si>
  <si>
    <t>Vendedor2</t>
  </si>
  <si>
    <t>Produto</t>
  </si>
  <si>
    <t>Unidades Vendidas</t>
  </si>
  <si>
    <t xml:space="preserve"> Total </t>
  </si>
  <si>
    <t>Leonardo Almeida</t>
  </si>
  <si>
    <t>Eliane Moreira</t>
  </si>
  <si>
    <t>Nicolas Pereira</t>
  </si>
  <si>
    <t>Camisa Masculina</t>
  </si>
  <si>
    <t>Amanda Martins</t>
  </si>
  <si>
    <t>Bermuda Masculino</t>
  </si>
  <si>
    <t>Paulo Santos</t>
  </si>
  <si>
    <t>Camisa Masculina Festa Balada</t>
  </si>
  <si>
    <t>Aline Rosa</t>
  </si>
  <si>
    <t>Bota Masculina</t>
  </si>
  <si>
    <t>Jaqueta Masculina Preta</t>
  </si>
  <si>
    <t>Bolsa de Trabalho</t>
  </si>
  <si>
    <t>Kit de Pinceis de Maquiagem</t>
  </si>
  <si>
    <t>Vestido Infantil</t>
  </si>
  <si>
    <t>Sapato Social</t>
  </si>
  <si>
    <t>Sapatilha Sapato</t>
  </si>
  <si>
    <t>Colar Pingente</t>
  </si>
  <si>
    <t>Angela Maria</t>
  </si>
  <si>
    <t>Carlos Moreira</t>
  </si>
  <si>
    <t>Chinelo</t>
  </si>
  <si>
    <t>Tênis Feminino</t>
  </si>
  <si>
    <t>Calça Feminina Jogger</t>
  </si>
  <si>
    <t>Calça Bailarina</t>
  </si>
  <si>
    <t>Camisa Térmica</t>
  </si>
  <si>
    <t>Boné</t>
  </si>
  <si>
    <t>Relógio</t>
  </si>
  <si>
    <t>Valor Unitário</t>
  </si>
  <si>
    <t>Loja</t>
  </si>
  <si>
    <t>Loja2</t>
  </si>
  <si>
    <t>Sexo</t>
  </si>
  <si>
    <t>Quantidade</t>
  </si>
  <si>
    <t xml:space="preserve"> Vendas </t>
  </si>
  <si>
    <t>Santa Catarina</t>
  </si>
  <si>
    <t>Feminino</t>
  </si>
  <si>
    <t>Masculino</t>
  </si>
  <si>
    <t>Rio de Janeiro</t>
  </si>
  <si>
    <t>São Paulo</t>
  </si>
  <si>
    <t>Total Geral</t>
  </si>
  <si>
    <t>Soma de Unidades Vendidas</t>
  </si>
  <si>
    <t>Soma de Valor Unitário</t>
  </si>
  <si>
    <t xml:space="preserve">Soma de  Total </t>
  </si>
  <si>
    <t>Marcador</t>
  </si>
  <si>
    <t>Ruim</t>
  </si>
  <si>
    <t>Regular</t>
  </si>
  <si>
    <t>Bom</t>
  </si>
  <si>
    <t>Ótimo</t>
  </si>
  <si>
    <t>Meta</t>
  </si>
  <si>
    <t xml:space="preserve">Ponteiro </t>
  </si>
  <si>
    <t>Valor da Ponta Ponteiro</t>
  </si>
  <si>
    <t>Tamanho Ponteiro</t>
  </si>
  <si>
    <t>Complemento</t>
  </si>
  <si>
    <t>Meta Atingida</t>
  </si>
  <si>
    <t>Quantidade Vendida</t>
  </si>
  <si>
    <t>Total</t>
  </si>
  <si>
    <t>Meta de Vendas: 2000</t>
  </si>
  <si>
    <t>Rótulos de Linha</t>
  </si>
  <si>
    <t>DASHBOARD TOTAL VENDAS POR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</si>
</sst>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8" fontId="0" fillId="0" borderId="0" xfId="0" applyNumberFormat="1"/>
    <xf numFmtId="0" fontId="0" fillId="0" borderId="0" xfId="0" pivotButton="1"/>
    <xf numFmtId="0" fontId="2" fillId="0" borderId="0" xfId="0" applyFont="1"/>
    <xf numFmtId="44" fontId="0" fillId="0" borderId="0" xfId="2" applyFont="1"/>
    <xf numFmtId="44" fontId="0" fillId="0" borderId="0" xfId="0" applyNumberFormat="1"/>
    <xf numFmtId="0" fontId="0" fillId="0" borderId="0" xfId="0" applyNumberFormat="1"/>
    <xf numFmtId="9" fontId="0" fillId="0" borderId="0" xfId="3" applyFont="1"/>
    <xf numFmtId="44" fontId="0" fillId="0" borderId="0" xfId="2" applyFont="1" applyAlignment="1">
      <alignment horizontal="right" vertical="center"/>
    </xf>
    <xf numFmtId="0" fontId="2" fillId="2" borderId="1" xfId="0" applyFont="1" applyFill="1" applyBorder="1"/>
    <xf numFmtId="44" fontId="2" fillId="2" borderId="2" xfId="2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9" fontId="4" fillId="3" borderId="3" xfId="3" applyFont="1" applyFill="1" applyBorder="1"/>
  </cellXfs>
  <cellStyles count="4">
    <cellStyle name="Moeda" xfId="2" builtinId="4"/>
    <cellStyle name="Moeda 2" xfId="1" xr:uid="{D20B583B-A55C-4FA0-80A7-B1D30624E25E}"/>
    <cellStyle name="Normal" xfId="0" builtinId="0"/>
    <cellStyle name="Porcentagem" xfId="3" builtinId="5"/>
  </cellStyles>
  <dxfs count="2">
    <dxf>
      <font>
        <color rgb="FF00B050"/>
      </font>
      <fill>
        <patternFill>
          <b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2" formatCode="&quot;R$&quot;\ #,##0.00;[Red]\-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[Dados.xlsx]Pivot!Tabela dinâmica3</c:name>
    <c:fmtId val="9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Pivot!$H$5:$H$8</c:f>
              <c:strCache>
                <c:ptCount val="3"/>
                <c:pt idx="0">
                  <c:v>Kit de Pinceis de Maquiagem</c:v>
                </c:pt>
                <c:pt idx="1">
                  <c:v>Tênis Feminino</c:v>
                </c:pt>
                <c:pt idx="2">
                  <c:v>Vestido Infantil</c:v>
                </c:pt>
              </c:strCache>
            </c:strRef>
          </c:cat>
          <c:val>
            <c:numRef>
              <c:f>Pivot!$I$5:$I$8</c:f>
              <c:numCache>
                <c:formatCode>"R$"#,##0.00_);[Red]\("R$"#,##0.00\)</c:formatCode>
                <c:ptCount val="3"/>
                <c:pt idx="0">
                  <c:v>349.56</c:v>
                </c:pt>
                <c:pt idx="1">
                  <c:v>89.99</c:v>
                </c:pt>
                <c:pt idx="2">
                  <c:v>119.8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8-4D81-8E87-4B49752B1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822368"/>
        <c:axId val="871806528"/>
      </c:areaChart>
      <c:catAx>
        <c:axId val="87182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1806528"/>
        <c:crosses val="autoZero"/>
        <c:auto val="1"/>
        <c:lblAlgn val="ctr"/>
        <c:lblOffset val="100"/>
        <c:noMultiLvlLbl val="0"/>
      </c:catAx>
      <c:valAx>
        <c:axId val="87180652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182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[Dados.xlsx]Pivot!Tabela dinâmica3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Pivot!$H$5:$H$8</c:f>
              <c:strCache>
                <c:ptCount val="3"/>
                <c:pt idx="0">
                  <c:v>Kit de Pinceis de Maquiagem</c:v>
                </c:pt>
                <c:pt idx="1">
                  <c:v>Tênis Feminino</c:v>
                </c:pt>
                <c:pt idx="2">
                  <c:v>Vestido Infantil</c:v>
                </c:pt>
              </c:strCache>
            </c:strRef>
          </c:cat>
          <c:val>
            <c:numRef>
              <c:f>Pivot!$I$5:$I$8</c:f>
              <c:numCache>
                <c:formatCode>"R$"#,##0.00_);[Red]\("R$"#,##0.00\)</c:formatCode>
                <c:ptCount val="3"/>
                <c:pt idx="0">
                  <c:v>349.56</c:v>
                </c:pt>
                <c:pt idx="1">
                  <c:v>89.99</c:v>
                </c:pt>
                <c:pt idx="2">
                  <c:v>119.8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B-4CDE-B116-7BC6CEA04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3611808"/>
        <c:axId val="303612768"/>
      </c:barChart>
      <c:catAx>
        <c:axId val="3036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612768"/>
        <c:crosses val="autoZero"/>
        <c:auto val="1"/>
        <c:lblAlgn val="ctr"/>
        <c:lblOffset val="100"/>
        <c:noMultiLvlLbl val="0"/>
      </c:catAx>
      <c:valAx>
        <c:axId val="30361276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61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[Dados.xlsx]Pivot!Tabela dinâmica3</c:name>
    <c:fmtId val="3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Pivot!$H$5:$H$8</c:f>
              <c:strCache>
                <c:ptCount val="3"/>
                <c:pt idx="0">
                  <c:v>Kit de Pinceis de Maquiagem</c:v>
                </c:pt>
                <c:pt idx="1">
                  <c:v>Tênis Feminino</c:v>
                </c:pt>
                <c:pt idx="2">
                  <c:v>Vestido Infantil</c:v>
                </c:pt>
              </c:strCache>
            </c:strRef>
          </c:cat>
          <c:val>
            <c:numRef>
              <c:f>Pivot!$I$5:$I$8</c:f>
              <c:numCache>
                <c:formatCode>"R$"#,##0.00_);[Red]\("R$"#,##0.00\)</c:formatCode>
                <c:ptCount val="3"/>
                <c:pt idx="0">
                  <c:v>349.56</c:v>
                </c:pt>
                <c:pt idx="1">
                  <c:v>89.99</c:v>
                </c:pt>
                <c:pt idx="2">
                  <c:v>119.8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9-4790-8173-6F1C4A48F6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3611808"/>
        <c:axId val="303612768"/>
      </c:barChart>
      <c:catAx>
        <c:axId val="3036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3612768"/>
        <c:crosses val="autoZero"/>
        <c:auto val="1"/>
        <c:lblAlgn val="ctr"/>
        <c:lblOffset val="100"/>
        <c:noMultiLvlLbl val="0"/>
      </c:catAx>
      <c:valAx>
        <c:axId val="30361276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30361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05555555555555"/>
          <c:y val="0.10416666666666667"/>
          <c:w val="0.46388888888888891"/>
          <c:h val="0.773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30-4C50-8C2B-58BEB9B7C7D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30-4C50-8C2B-58BEB9B7C7D9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30-4C50-8C2B-58BEB9B7C7D9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30-4C50-8C2B-58BEB9B7C7D9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30-4C50-8C2B-58BEB9B7C7D9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30-4C50-8C2B-58BEB9B7C7D9}"/>
                </c:ext>
              </c:extLst>
            </c:dLbl>
            <c:dLbl>
              <c:idx val="1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30-4C50-8C2B-58BEB9B7C7D9}"/>
                </c:ext>
              </c:extLst>
            </c:dLbl>
            <c:dLbl>
              <c:idx val="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30-4C50-8C2B-58BEB9B7C7D9}"/>
                </c:ext>
              </c:extLst>
            </c:dLbl>
            <c:dLbl>
              <c:idx val="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30-4C50-8C2B-58BEB9B7C7D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30-4C50-8C2B-58BEB9B7C7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 Velocimetro'!$A$2:$A$6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Meta</c:v>
                </c:pt>
              </c:strCache>
            </c:strRef>
          </c:cat>
          <c:val>
            <c:numRef>
              <c:f>'Grafico Velocimetro'!$B$2:$B$6</c:f>
              <c:numCache>
                <c:formatCode>_("R$"* #,##0.00_);_("R$"* \(#,##0.00\);_("R$"* "-"??_);_(@_)</c:formatCode>
                <c:ptCount val="5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0-4C50-8C2B-58BEB9B7C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strRef>
              <c:f>'Grafico Velocimetro'!$A$9</c:f>
              <c:strCache>
                <c:ptCount val="1"/>
                <c:pt idx="0">
                  <c:v>Ponteiro 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830-4C50-8C2B-58BEB9B7C7D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30-4C50-8C2B-58BEB9B7C7D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830-4C50-8C2B-58BEB9B7C7D9}"/>
              </c:ext>
            </c:extLst>
          </c:dPt>
          <c:val>
            <c:numRef>
              <c:f>'Grafico Velocimetro'!$B$10:$B$12</c:f>
              <c:numCache>
                <c:formatCode>General</c:formatCode>
                <c:ptCount val="3"/>
                <c:pt idx="0" formatCode="_(&quot;R$&quot;* #,##0.00_);_(&quot;R$&quot;* \(#,##0.00\);_(&quot;R$&quot;* &quot;-&quot;??_);_(@_)">
                  <c:v>559.35</c:v>
                </c:pt>
                <c:pt idx="1">
                  <c:v>20</c:v>
                </c:pt>
                <c:pt idx="2" formatCode="_(&quot;R$&quot;* #,##0.00_);_(&quot;R$&quot;* \(#,##0.00\);_(&quot;R$&quot;* &quot;-&quot;??_);_(@_)">
                  <c:v>3420.65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30-4C50-8C2B-58BEB9B7C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3.png"/><Relationship Id="rId7" Type="http://schemas.openxmlformats.org/officeDocument/2006/relationships/chart" Target="../charts/chart3.xml"/><Relationship Id="rId2" Type="http://schemas.openxmlformats.org/officeDocument/2006/relationships/image" Target="../media/image12.svg"/><Relationship Id="rId1" Type="http://schemas.openxmlformats.org/officeDocument/2006/relationships/image" Target="../media/image11.png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4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63500</xdr:rowOff>
    </xdr:from>
    <xdr:to>
      <xdr:col>2</xdr:col>
      <xdr:colOff>95250</xdr:colOff>
      <xdr:row>7</xdr:row>
      <xdr:rowOff>31750</xdr:rowOff>
    </xdr:to>
    <xdr:pic>
      <xdr:nvPicPr>
        <xdr:cNvPr id="2" name="Graphic 3" descr="Money">
          <a:extLst>
            <a:ext uri="{FF2B5EF4-FFF2-40B4-BE49-F238E27FC236}">
              <a16:creationId xmlns:a16="http://schemas.microsoft.com/office/drawing/2014/main" id="{EA3EFC32-006E-41F3-BB39-F60BCF25A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635000"/>
          <a:ext cx="704850" cy="7302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3</xdr:row>
      <xdr:rowOff>0</xdr:rowOff>
    </xdr:from>
    <xdr:to>
      <xdr:col>4</xdr:col>
      <xdr:colOff>38100</xdr:colOff>
      <xdr:row>7</xdr:row>
      <xdr:rowOff>38100</xdr:rowOff>
    </xdr:to>
    <xdr:pic>
      <xdr:nvPicPr>
        <xdr:cNvPr id="3" name="Graphic 5" descr="Clothes hanger">
          <a:extLst>
            <a:ext uri="{FF2B5EF4-FFF2-40B4-BE49-F238E27FC236}">
              <a16:creationId xmlns:a16="http://schemas.microsoft.com/office/drawing/2014/main" id="{CDE993EB-259C-485C-B449-793F439C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63700" y="571500"/>
          <a:ext cx="812800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212725</xdr:colOff>
      <xdr:row>1</xdr:row>
      <xdr:rowOff>171450</xdr:rowOff>
    </xdr:from>
    <xdr:to>
      <xdr:col>7</xdr:col>
      <xdr:colOff>393700</xdr:colOff>
      <xdr:row>13</xdr:row>
      <xdr:rowOff>158750</xdr:rowOff>
    </xdr:to>
    <xdr:pic>
      <xdr:nvPicPr>
        <xdr:cNvPr id="4" name="Gráfico 3" descr="Mulher">
          <a:extLst>
            <a:ext uri="{FF2B5EF4-FFF2-40B4-BE49-F238E27FC236}">
              <a16:creationId xmlns:a16="http://schemas.microsoft.com/office/drawing/2014/main" id="{3F09E08E-D980-4D60-918A-1FE5A9ED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51125" y="361950"/>
          <a:ext cx="2009775" cy="2273300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428624</xdr:colOff>
      <xdr:row>1</xdr:row>
      <xdr:rowOff>156350</xdr:rowOff>
    </xdr:from>
    <xdr:to>
      <xdr:col>12</xdr:col>
      <xdr:colOff>333375</xdr:colOff>
      <xdr:row>13</xdr:row>
      <xdr:rowOff>171450</xdr:rowOff>
    </xdr:to>
    <xdr:pic>
      <xdr:nvPicPr>
        <xdr:cNvPr id="5" name="Gráfico 4" descr="Homem">
          <a:extLst>
            <a:ext uri="{FF2B5EF4-FFF2-40B4-BE49-F238E27FC236}">
              <a16:creationId xmlns:a16="http://schemas.microsoft.com/office/drawing/2014/main" id="{D9942589-7E7D-4AF3-82E5-8C9D187A0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915024" y="346850"/>
          <a:ext cx="1733551" cy="2301100"/>
        </a:xfrm>
        <a:prstGeom prst="rect">
          <a:avLst/>
        </a:prstGeom>
      </xdr:spPr>
    </xdr:pic>
    <xdr:clientData/>
  </xdr:twoCellAnchor>
  <xdr:twoCellAnchor editAs="oneCell">
    <xdr:from>
      <xdr:col>6</xdr:col>
      <xdr:colOff>431800</xdr:colOff>
      <xdr:row>1</xdr:row>
      <xdr:rowOff>174625</xdr:rowOff>
    </xdr:from>
    <xdr:to>
      <xdr:col>10</xdr:col>
      <xdr:colOff>190500</xdr:colOff>
      <xdr:row>13</xdr:row>
      <xdr:rowOff>161925</xdr:rowOff>
    </xdr:to>
    <xdr:pic>
      <xdr:nvPicPr>
        <xdr:cNvPr id="6" name="Gráfico 5" descr="Mulher">
          <a:extLst>
            <a:ext uri="{FF2B5EF4-FFF2-40B4-BE49-F238E27FC236}">
              <a16:creationId xmlns:a16="http://schemas.microsoft.com/office/drawing/2014/main" id="{8C41362A-54B0-4914-8A10-26235468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089400" y="365125"/>
          <a:ext cx="2197100" cy="227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441325</xdr:colOff>
      <xdr:row>1</xdr:row>
      <xdr:rowOff>95250</xdr:rowOff>
    </xdr:from>
    <xdr:to>
      <xdr:col>14</xdr:col>
      <xdr:colOff>564375</xdr:colOff>
      <xdr:row>13</xdr:row>
      <xdr:rowOff>110350</xdr:rowOff>
    </xdr:to>
    <xdr:pic>
      <xdr:nvPicPr>
        <xdr:cNvPr id="7" name="Gráfico 6" descr="Homem">
          <a:extLst>
            <a:ext uri="{FF2B5EF4-FFF2-40B4-BE49-F238E27FC236}">
              <a16:creationId xmlns:a16="http://schemas.microsoft.com/office/drawing/2014/main" id="{18E6B5E3-1B5B-4FE0-84BC-2FFD5C93E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146925" y="285750"/>
          <a:ext cx="1951850" cy="2301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201707</xdr:colOff>
      <xdr:row>13</xdr:row>
      <xdr:rowOff>180416</xdr:rowOff>
    </xdr:from>
    <xdr:to>
      <xdr:col>4</xdr:col>
      <xdr:colOff>67235</xdr:colOff>
      <xdr:row>28</xdr:row>
      <xdr:rowOff>66116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FBBEEE-4214-083E-94E5-4430FEB97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218513</xdr:colOff>
      <xdr:row>13</xdr:row>
      <xdr:rowOff>101973</xdr:rowOff>
    </xdr:from>
    <xdr:to>
      <xdr:col>10</xdr:col>
      <xdr:colOff>403412</xdr:colOff>
      <xdr:row>29</xdr:row>
      <xdr:rowOff>11205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ED551F-2FB3-F3D4-30C7-986628CB0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142875</xdr:rowOff>
    </xdr:from>
    <xdr:to>
      <xdr:col>6</xdr:col>
      <xdr:colOff>295275</xdr:colOff>
      <xdr:row>7</xdr:row>
      <xdr:rowOff>180975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3ED4D9D-2DA2-06FD-6884-50DD1F2DE122}"/>
            </a:ext>
          </a:extLst>
        </xdr:cNvPr>
        <xdr:cNvSpPr/>
      </xdr:nvSpPr>
      <xdr:spPr>
        <a:xfrm>
          <a:off x="1866900" y="742950"/>
          <a:ext cx="2314575" cy="800100"/>
        </a:xfrm>
        <a:prstGeom prst="roundRect">
          <a:avLst>
            <a:gd name="adj" fmla="val 8333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209550</xdr:colOff>
      <xdr:row>4</xdr:row>
      <xdr:rowOff>76200</xdr:rowOff>
    </xdr:from>
    <xdr:to>
      <xdr:col>3</xdr:col>
      <xdr:colOff>687622</xdr:colOff>
      <xdr:row>7</xdr:row>
      <xdr:rowOff>0</xdr:rowOff>
    </xdr:to>
    <xdr:pic>
      <xdr:nvPicPr>
        <xdr:cNvPr id="3" name="Graphic 3" descr="Money">
          <a:extLst>
            <a:ext uri="{FF2B5EF4-FFF2-40B4-BE49-F238E27FC236}">
              <a16:creationId xmlns:a16="http://schemas.microsoft.com/office/drawing/2014/main" id="{EEACA77F-7227-474E-B3A9-9B502BD60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47875" y="866775"/>
          <a:ext cx="478072" cy="495300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3</xdr:row>
      <xdr:rowOff>152400</xdr:rowOff>
    </xdr:from>
    <xdr:to>
      <xdr:col>6</xdr:col>
      <xdr:colOff>238125</xdr:colOff>
      <xdr:row>5</xdr:row>
      <xdr:rowOff>38100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507A797-03E6-8107-9BA9-5F4419DD85D0}"/>
            </a:ext>
          </a:extLst>
        </xdr:cNvPr>
        <xdr:cNvSpPr txBox="1"/>
      </xdr:nvSpPr>
      <xdr:spPr>
        <a:xfrm>
          <a:off x="2657475" y="723900"/>
          <a:ext cx="12382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Total Vendas</a:t>
          </a:r>
        </a:p>
      </xdr:txBody>
    </xdr:sp>
    <xdr:clientData/>
  </xdr:twoCellAnchor>
  <xdr:twoCellAnchor>
    <xdr:from>
      <xdr:col>6</xdr:col>
      <xdr:colOff>466725</xdr:colOff>
      <xdr:row>3</xdr:row>
      <xdr:rowOff>152399</xdr:rowOff>
    </xdr:from>
    <xdr:to>
      <xdr:col>10</xdr:col>
      <xdr:colOff>104774</xdr:colOff>
      <xdr:row>8</xdr:row>
      <xdr:rowOff>19048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7860B62-9253-43CF-B680-36F0F7915CEE}"/>
            </a:ext>
          </a:extLst>
        </xdr:cNvPr>
        <xdr:cNvSpPr/>
      </xdr:nvSpPr>
      <xdr:spPr>
        <a:xfrm>
          <a:off x="4124325" y="723899"/>
          <a:ext cx="2076449" cy="819149"/>
        </a:xfrm>
        <a:prstGeom prst="roundRect">
          <a:avLst>
            <a:gd name="adj" fmla="val 833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495300</xdr:colOff>
      <xdr:row>4</xdr:row>
      <xdr:rowOff>9524</xdr:rowOff>
    </xdr:from>
    <xdr:to>
      <xdr:col>7</xdr:col>
      <xdr:colOff>475949</xdr:colOff>
      <xdr:row>7</xdr:row>
      <xdr:rowOff>19050</xdr:rowOff>
    </xdr:to>
    <xdr:pic>
      <xdr:nvPicPr>
        <xdr:cNvPr id="6" name="Graphic 5" descr="Clothes hanger">
          <a:extLst>
            <a:ext uri="{FF2B5EF4-FFF2-40B4-BE49-F238E27FC236}">
              <a16:creationId xmlns:a16="http://schemas.microsoft.com/office/drawing/2014/main" id="{07E0BE71-9C66-4201-9953-30857926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52900" y="771524"/>
          <a:ext cx="590249" cy="581026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3</xdr:row>
      <xdr:rowOff>123825</xdr:rowOff>
    </xdr:from>
    <xdr:to>
      <xdr:col>10</xdr:col>
      <xdr:colOff>57150</xdr:colOff>
      <xdr:row>5</xdr:row>
      <xdr:rowOff>133350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4CC3195-9636-9C1C-22BA-9B52AE36338B}"/>
            </a:ext>
          </a:extLst>
        </xdr:cNvPr>
        <xdr:cNvSpPr txBox="1"/>
      </xdr:nvSpPr>
      <xdr:spPr>
        <a:xfrm>
          <a:off x="5038725" y="695325"/>
          <a:ext cx="11144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</a:rPr>
            <a:t>Quantidade</a:t>
          </a:r>
        </a:p>
      </xdr:txBody>
    </xdr:sp>
    <xdr:clientData/>
  </xdr:twoCellAnchor>
  <xdr:twoCellAnchor editAs="oneCell">
    <xdr:from>
      <xdr:col>0</xdr:col>
      <xdr:colOff>66675</xdr:colOff>
      <xdr:row>3</xdr:row>
      <xdr:rowOff>171450</xdr:rowOff>
    </xdr:from>
    <xdr:to>
      <xdr:col>2</xdr:col>
      <xdr:colOff>542925</xdr:colOff>
      <xdr:row>16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Vendedor">
              <a:extLst>
                <a:ext uri="{FF2B5EF4-FFF2-40B4-BE49-F238E27FC236}">
                  <a16:creationId xmlns:a16="http://schemas.microsoft.com/office/drawing/2014/main" id="{E3061646-B0B3-4F33-AE40-C59F081157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771525"/>
              <a:ext cx="1704975" cy="2390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2</xdr:row>
          <xdr:rowOff>9525</xdr:rowOff>
        </xdr:from>
        <xdr:to>
          <xdr:col>12</xdr:col>
          <xdr:colOff>187325</xdr:colOff>
          <xdr:row>9</xdr:row>
          <xdr:rowOff>9525</xdr:rowOff>
        </xdr:to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71E250E9-E26E-9617-2324-F99EE8900E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afico Velocimetro'!$E$3:$I$9" spid="_x0000_s208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124575" y="422275"/>
              <a:ext cx="3048000" cy="1333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104775</xdr:colOff>
      <xdr:row>5</xdr:row>
      <xdr:rowOff>38100</xdr:rowOff>
    </xdr:from>
    <xdr:to>
      <xdr:col>10</xdr:col>
      <xdr:colOff>66675</xdr:colOff>
      <xdr:row>7</xdr:row>
      <xdr:rowOff>47625</xdr:rowOff>
    </xdr:to>
    <xdr:sp macro="" textlink="'Grafico Velocimetro'!A20">
      <xdr:nvSpPr>
        <xdr:cNvPr id="19" name="CaixaDeTexto 18">
          <a:extLst>
            <a:ext uri="{FF2B5EF4-FFF2-40B4-BE49-F238E27FC236}">
              <a16:creationId xmlns:a16="http://schemas.microsoft.com/office/drawing/2014/main" id="{B4203A3F-024B-5AE3-FC0E-75CEED9A91FB}"/>
            </a:ext>
          </a:extLst>
        </xdr:cNvPr>
        <xdr:cNvSpPr txBox="1"/>
      </xdr:nvSpPr>
      <xdr:spPr>
        <a:xfrm>
          <a:off x="4981575" y="990600"/>
          <a:ext cx="11811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4FC2CBF-59DD-4C9D-B390-E86C3A1BDA32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6</a:t>
          </a:fld>
          <a:endParaRPr lang="pt-BR" sz="28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142875</xdr:colOff>
      <xdr:row>5</xdr:row>
      <xdr:rowOff>19050</xdr:rowOff>
    </xdr:from>
    <xdr:to>
      <xdr:col>6</xdr:col>
      <xdr:colOff>152400</xdr:colOff>
      <xdr:row>7</xdr:row>
      <xdr:rowOff>95250</xdr:rowOff>
    </xdr:to>
    <xdr:sp macro="" textlink="'Grafico Velocimetro'!B10">
      <xdr:nvSpPr>
        <xdr:cNvPr id="20" name="CaixaDeTexto 19">
          <a:extLst>
            <a:ext uri="{FF2B5EF4-FFF2-40B4-BE49-F238E27FC236}">
              <a16:creationId xmlns:a16="http://schemas.microsoft.com/office/drawing/2014/main" id="{5332D7F8-AFA6-4A7B-AD27-FDBF8CEA751F}"/>
            </a:ext>
          </a:extLst>
        </xdr:cNvPr>
        <xdr:cNvSpPr txBox="1"/>
      </xdr:nvSpPr>
      <xdr:spPr>
        <a:xfrm>
          <a:off x="2581275" y="971550"/>
          <a:ext cx="1228725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9C9BC10-38AB-48EB-8BB4-ACC996C98E30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R$ 559,35 </a:t>
          </a:fld>
          <a:endParaRPr lang="pt-BR" sz="36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400051</xdr:colOff>
          <xdr:row>7</xdr:row>
          <xdr:rowOff>95250</xdr:rowOff>
        </xdr:from>
        <xdr:to>
          <xdr:col>9</xdr:col>
          <xdr:colOff>352426</xdr:colOff>
          <xdr:row>21</xdr:row>
          <xdr:rowOff>57150</xdr:rowOff>
        </xdr:to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EB05D0AD-D230-779F-A953-E3ABC51994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14:$D$28" spid="_x0000_s2082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19251" y="1457325"/>
              <a:ext cx="4438650" cy="2647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600075</xdr:colOff>
      <xdr:row>8</xdr:row>
      <xdr:rowOff>76200</xdr:rowOff>
    </xdr:from>
    <xdr:to>
      <xdr:col>4</xdr:col>
      <xdr:colOff>342900</xdr:colOff>
      <xdr:row>9</xdr:row>
      <xdr:rowOff>161925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3B29392-519A-20A4-3056-A21826BB51ED}"/>
            </a:ext>
          </a:extLst>
        </xdr:cNvPr>
        <xdr:cNvSpPr txBox="1"/>
      </xdr:nvSpPr>
      <xdr:spPr>
        <a:xfrm>
          <a:off x="1819275" y="1628775"/>
          <a:ext cx="9620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523875</xdr:colOff>
      <xdr:row>19</xdr:row>
      <xdr:rowOff>161925</xdr:rowOff>
    </xdr:from>
    <xdr:to>
      <xdr:col>4</xdr:col>
      <xdr:colOff>57150</xdr:colOff>
      <xdr:row>21</xdr:row>
      <xdr:rowOff>123825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6A47115-C6CD-2AFC-B695-BCAFE49A41E3}"/>
            </a:ext>
          </a:extLst>
        </xdr:cNvPr>
        <xdr:cNvSpPr txBox="1"/>
      </xdr:nvSpPr>
      <xdr:spPr>
        <a:xfrm>
          <a:off x="1743075" y="3829050"/>
          <a:ext cx="752475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ln>
              <a:noFill/>
            </a:ln>
          </a:endParaRPr>
        </a:p>
      </xdr:txBody>
    </xdr:sp>
    <xdr:clientData/>
  </xdr:twoCellAnchor>
  <xdr:twoCellAnchor>
    <xdr:from>
      <xdr:col>2</xdr:col>
      <xdr:colOff>523313</xdr:colOff>
      <xdr:row>20</xdr:row>
      <xdr:rowOff>92448</xdr:rowOff>
    </xdr:from>
    <xdr:to>
      <xdr:col>10</xdr:col>
      <xdr:colOff>374837</xdr:colOff>
      <xdr:row>36</xdr:row>
      <xdr:rowOff>1680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5A4EFD67-C3FE-4DD0-A74C-A0676AF73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428625</xdr:colOff>
      <xdr:row>20</xdr:row>
      <xdr:rowOff>104775</xdr:rowOff>
    </xdr:from>
    <xdr:to>
      <xdr:col>4</xdr:col>
      <xdr:colOff>295275</xdr:colOff>
      <xdr:row>21</xdr:row>
      <xdr:rowOff>152400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A6930339-A33F-CDE8-28C3-B608521E08D6}"/>
            </a:ext>
          </a:extLst>
        </xdr:cNvPr>
        <xdr:cNvSpPr txBox="1"/>
      </xdr:nvSpPr>
      <xdr:spPr>
        <a:xfrm>
          <a:off x="1647825" y="3962400"/>
          <a:ext cx="10858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ln>
              <a:noFill/>
            </a:ln>
          </a:endParaRPr>
        </a:p>
      </xdr:txBody>
    </xdr:sp>
    <xdr:clientData/>
  </xdr:twoCellAnchor>
  <xdr:twoCellAnchor>
    <xdr:from>
      <xdr:col>2</xdr:col>
      <xdr:colOff>504825</xdr:colOff>
      <xdr:row>34</xdr:row>
      <xdr:rowOff>19050</xdr:rowOff>
    </xdr:from>
    <xdr:to>
      <xdr:col>4</xdr:col>
      <xdr:colOff>47625</xdr:colOff>
      <xdr:row>36</xdr:row>
      <xdr:rowOff>19050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532BCCBC-B049-CADF-1961-C38166E78F03}"/>
            </a:ext>
          </a:extLst>
        </xdr:cNvPr>
        <xdr:cNvSpPr txBox="1"/>
      </xdr:nvSpPr>
      <xdr:spPr>
        <a:xfrm rot="10800000">
          <a:off x="1724025" y="6543675"/>
          <a:ext cx="762000" cy="381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533400</xdr:colOff>
          <xdr:row>22</xdr:row>
          <xdr:rowOff>47625</xdr:rowOff>
        </xdr:from>
        <xdr:to>
          <xdr:col>13</xdr:col>
          <xdr:colOff>358775</xdr:colOff>
          <xdr:row>32</xdr:row>
          <xdr:rowOff>47625</xdr:rowOff>
        </xdr:to>
        <xdr:pic>
          <xdr:nvPicPr>
            <xdr:cNvPr id="45" name="Imagem 44">
              <a:extLst>
                <a:ext uri="{FF2B5EF4-FFF2-40B4-BE49-F238E27FC236}">
                  <a16:creationId xmlns:a16="http://schemas.microsoft.com/office/drawing/2014/main" id="{B56FCABD-9421-3F41-C76B-D2F51E1BF2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nilha1!$C$4:$L$13" spid="_x0000_s2083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6804025" y="4302125"/>
              <a:ext cx="3143250" cy="1905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1485900</xdr:colOff>
      <xdr:row>25</xdr:row>
      <xdr:rowOff>133350</xdr:rowOff>
    </xdr:from>
    <xdr:to>
      <xdr:col>11</xdr:col>
      <xdr:colOff>790575</xdr:colOff>
      <xdr:row>28</xdr:row>
      <xdr:rowOff>180975</xdr:rowOff>
    </xdr:to>
    <xdr:sp macro="" textlink="'Grafico Velocimetro'!A17">
      <xdr:nvSpPr>
        <xdr:cNvPr id="46" name="CaixaDeTexto 45">
          <a:extLst>
            <a:ext uri="{FF2B5EF4-FFF2-40B4-BE49-F238E27FC236}">
              <a16:creationId xmlns:a16="http://schemas.microsoft.com/office/drawing/2014/main" id="{D6181EF5-FFD7-29C1-FA5A-5666CE8CD49A}"/>
            </a:ext>
          </a:extLst>
        </xdr:cNvPr>
        <xdr:cNvSpPr txBox="1"/>
      </xdr:nvSpPr>
      <xdr:spPr>
        <a:xfrm>
          <a:off x="7581900" y="4943475"/>
          <a:ext cx="1209675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8F7BDB3-14AE-49F9-B6E9-7C44E0A33C50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28%</a:t>
          </a:fld>
          <a:endParaRPr lang="pt-BR" sz="6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433387</xdr:colOff>
      <xdr:row>0</xdr:row>
      <xdr:rowOff>185737</xdr:rowOff>
    </xdr:from>
    <xdr:to>
      <xdr:col>10</xdr:col>
      <xdr:colOff>128587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CD3CA0-336D-4F32-DEE7-F9CBA4BA8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5</xdr:row>
      <xdr:rowOff>104775</xdr:rowOff>
    </xdr:from>
    <xdr:to>
      <xdr:col>7</xdr:col>
      <xdr:colOff>57150</xdr:colOff>
      <xdr:row>9</xdr:row>
      <xdr:rowOff>66675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13F2716-9968-AE2B-1F49-46CB83BBBE63}"/>
            </a:ext>
          </a:extLst>
        </xdr:cNvPr>
        <xdr:cNvSpPr/>
      </xdr:nvSpPr>
      <xdr:spPr>
        <a:xfrm>
          <a:off x="4714875" y="1057275"/>
          <a:ext cx="771525" cy="723900"/>
        </a:xfrm>
        <a:prstGeom prst="ellipse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409575</xdr:colOff>
      <xdr:row>8</xdr:row>
      <xdr:rowOff>38100</xdr:rowOff>
    </xdr:from>
    <xdr:to>
      <xdr:col>8</xdr:col>
      <xdr:colOff>123825</xdr:colOff>
      <xdr:row>10</xdr:row>
      <xdr:rowOff>95250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74E2948-05D4-7BCA-7144-CFFD399DDA1C}"/>
            </a:ext>
          </a:extLst>
        </xdr:cNvPr>
        <xdr:cNvSpPr/>
      </xdr:nvSpPr>
      <xdr:spPr>
        <a:xfrm>
          <a:off x="4010025" y="1562100"/>
          <a:ext cx="2152650" cy="4381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28575</xdr:colOff>
      <xdr:row>6</xdr:row>
      <xdr:rowOff>38100</xdr:rowOff>
    </xdr:from>
    <xdr:to>
      <xdr:col>6</xdr:col>
      <xdr:colOff>552450</xdr:colOff>
      <xdr:row>7</xdr:row>
      <xdr:rowOff>161925</xdr:rowOff>
    </xdr:to>
    <xdr:sp macro="" textlink="$A$17">
      <xdr:nvSpPr>
        <xdr:cNvPr id="6" name="CaixaDeTexto 5">
          <a:extLst>
            <a:ext uri="{FF2B5EF4-FFF2-40B4-BE49-F238E27FC236}">
              <a16:creationId xmlns:a16="http://schemas.microsoft.com/office/drawing/2014/main" id="{BB849C26-DF09-D71F-20F9-8E7ABE628851}"/>
            </a:ext>
          </a:extLst>
        </xdr:cNvPr>
        <xdr:cNvSpPr txBox="1"/>
      </xdr:nvSpPr>
      <xdr:spPr>
        <a:xfrm>
          <a:off x="4848225" y="1181100"/>
          <a:ext cx="5238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696F043-FEB4-409F-A5EB-2163EEB8BD5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28%</a:t>
          </a:fld>
          <a:endParaRPr lang="pt-BR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" refreshedDate="46108.932689467591" createdVersion="8" refreshedVersion="8" minRefreshableVersion="3" recordCount="37" xr:uid="{053FE650-A049-4A2A-BA5C-9396B2CCA0EF}">
  <cacheSource type="worksheet">
    <worksheetSource name="Tabela1"/>
  </cacheSource>
  <cacheFields count="6">
    <cacheField name="Vendedor" numFmtId="0">
      <sharedItems count="8">
        <s v="Leonardo Almeida"/>
        <s v="Eliane Moreira"/>
        <s v="Nicolas Pereira"/>
        <s v="Amanda Martins"/>
        <s v="Paulo Santos"/>
        <s v="Aline Rosa"/>
        <s v="Angela Maria"/>
        <s v="Carlos Moreira"/>
      </sharedItems>
    </cacheField>
    <cacheField name="Vendedor2" numFmtId="0">
      <sharedItems count="8">
        <s v="Leonardo Almeida"/>
        <s v="Eliane Moreira"/>
        <s v="Nicolas Pereira"/>
        <s v="Amanda Martins"/>
        <s v="Paulo Santos"/>
        <s v="Aline Rosa"/>
        <s v="Angela Maria"/>
        <s v="Carlos Moreira"/>
      </sharedItems>
    </cacheField>
    <cacheField name="Produto" numFmtId="0">
      <sharedItems count="18">
        <s v="Tênis Feminino"/>
        <s v="Calça Feminina Jogger"/>
        <s v="Camisa Masculina"/>
        <s v="Bermuda Masculino"/>
        <s v="Camisa Masculina Festa Balada"/>
        <s v="Bota Masculina"/>
        <s v="Jaqueta Masculina Preta"/>
        <s v="Bolsa de Trabalho"/>
        <s v="Kit de Pinceis de Maquiagem"/>
        <s v="Vestido Infantil"/>
        <s v="Calça Bailarina"/>
        <s v="Camisa Térmica"/>
        <s v="Sapato Social"/>
        <s v="Sapatilha Sapato"/>
        <s v="Colar Pingente"/>
        <s v="Boné"/>
        <s v="Relógio"/>
        <s v="Chinelo"/>
      </sharedItems>
    </cacheField>
    <cacheField name="Valor Unitário" numFmtId="0">
      <sharedItems containsSemiMixedTypes="0" containsString="0" containsNumber="1" minValue="40" maxValue="390"/>
    </cacheField>
    <cacheField name="Unidades Vendidas" numFmtId="0">
      <sharedItems containsSemiMixedTypes="0" containsString="0" containsNumber="1" containsInteger="1" minValue="1" maxValue="9"/>
    </cacheField>
    <cacheField name=" Total " numFmtId="8">
      <sharedItems containsSemiMixedTypes="0" containsString="0" containsNumber="1" minValue="46.9" maxValue="1337.04"/>
    </cacheField>
  </cacheFields>
  <extLst>
    <ext xmlns:x14="http://schemas.microsoft.com/office/spreadsheetml/2009/9/main" uri="{725AE2AE-9491-48be-B2B4-4EB974FC3084}">
      <x14:pivotCacheDefinition pivotCacheId="1537889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x v="0"/>
    <n v="89.99"/>
    <n v="3"/>
    <n v="269.97000000000003"/>
  </r>
  <r>
    <x v="1"/>
    <x v="1"/>
    <x v="1"/>
    <n v="69.989999999999995"/>
    <n v="5"/>
    <n v="349.95"/>
  </r>
  <r>
    <x v="2"/>
    <x v="2"/>
    <x v="2"/>
    <n v="153.4"/>
    <n v="1"/>
    <n v="153.4"/>
  </r>
  <r>
    <x v="3"/>
    <x v="3"/>
    <x v="3"/>
    <n v="148.56"/>
    <n v="9"/>
    <n v="1337.04"/>
  </r>
  <r>
    <x v="4"/>
    <x v="4"/>
    <x v="4"/>
    <n v="146.13999999999999"/>
    <n v="1"/>
    <n v="146.13999999999999"/>
  </r>
  <r>
    <x v="5"/>
    <x v="5"/>
    <x v="5"/>
    <n v="224.14"/>
    <n v="4"/>
    <n v="896.56"/>
  </r>
  <r>
    <x v="0"/>
    <x v="0"/>
    <x v="6"/>
    <n v="150.5"/>
    <n v="4"/>
    <n v="602"/>
  </r>
  <r>
    <x v="1"/>
    <x v="1"/>
    <x v="7"/>
    <n v="248.73"/>
    <n v="1"/>
    <n v="248.73"/>
  </r>
  <r>
    <x v="2"/>
    <x v="2"/>
    <x v="8"/>
    <n v="116.52"/>
    <n v="1"/>
    <n v="116.52"/>
  </r>
  <r>
    <x v="3"/>
    <x v="3"/>
    <x v="9"/>
    <n v="59.9"/>
    <n v="1"/>
    <n v="59.9"/>
  </r>
  <r>
    <x v="0"/>
    <x v="0"/>
    <x v="10"/>
    <n v="46.9"/>
    <n v="1"/>
    <n v="46.9"/>
  </r>
  <r>
    <x v="1"/>
    <x v="1"/>
    <x v="11"/>
    <n v="41.9"/>
    <n v="4"/>
    <n v="167.6"/>
  </r>
  <r>
    <x v="2"/>
    <x v="2"/>
    <x v="12"/>
    <n v="81.900000000000006"/>
    <n v="9"/>
    <n v="737.1"/>
  </r>
  <r>
    <x v="3"/>
    <x v="3"/>
    <x v="13"/>
    <n v="55.9"/>
    <n v="2"/>
    <n v="111.8"/>
  </r>
  <r>
    <x v="1"/>
    <x v="1"/>
    <x v="14"/>
    <n v="89.9"/>
    <n v="1"/>
    <n v="89.9"/>
  </r>
  <r>
    <x v="6"/>
    <x v="6"/>
    <x v="0"/>
    <n v="89.99"/>
    <n v="1"/>
    <n v="89.99"/>
  </r>
  <r>
    <x v="7"/>
    <x v="7"/>
    <x v="1"/>
    <n v="69.989999999999995"/>
    <n v="1"/>
    <n v="69.989999999999995"/>
  </r>
  <r>
    <x v="1"/>
    <x v="1"/>
    <x v="2"/>
    <n v="153.4"/>
    <n v="2"/>
    <n v="306.8"/>
  </r>
  <r>
    <x v="2"/>
    <x v="2"/>
    <x v="3"/>
    <n v="148.56"/>
    <n v="6"/>
    <n v="891.36"/>
  </r>
  <r>
    <x v="0"/>
    <x v="0"/>
    <x v="4"/>
    <n v="146.13999999999999"/>
    <n v="1"/>
    <n v="146.13999999999999"/>
  </r>
  <r>
    <x v="5"/>
    <x v="5"/>
    <x v="5"/>
    <n v="224.14"/>
    <n v="1"/>
    <n v="224.14"/>
  </r>
  <r>
    <x v="0"/>
    <x v="0"/>
    <x v="6"/>
    <n v="150.5"/>
    <n v="5"/>
    <n v="752.5"/>
  </r>
  <r>
    <x v="1"/>
    <x v="1"/>
    <x v="7"/>
    <n v="248.73"/>
    <n v="2"/>
    <n v="497.46"/>
  </r>
  <r>
    <x v="2"/>
    <x v="2"/>
    <x v="8"/>
    <n v="116.52"/>
    <n v="3"/>
    <n v="349.56"/>
  </r>
  <r>
    <x v="3"/>
    <x v="3"/>
    <x v="9"/>
    <n v="59.9"/>
    <n v="2"/>
    <n v="119.8"/>
  </r>
  <r>
    <x v="1"/>
    <x v="1"/>
    <x v="10"/>
    <n v="46.9"/>
    <n v="2"/>
    <n v="93.8"/>
  </r>
  <r>
    <x v="2"/>
    <x v="2"/>
    <x v="11"/>
    <n v="41.9"/>
    <n v="2"/>
    <n v="83.8"/>
  </r>
  <r>
    <x v="3"/>
    <x v="3"/>
    <x v="12"/>
    <n v="81.900000000000006"/>
    <n v="4"/>
    <n v="327.60000000000002"/>
  </r>
  <r>
    <x v="6"/>
    <x v="6"/>
    <x v="8"/>
    <n v="116.52"/>
    <n v="3"/>
    <n v="349.56"/>
  </r>
  <r>
    <x v="6"/>
    <x v="6"/>
    <x v="9"/>
    <n v="59.9"/>
    <n v="2"/>
    <n v="119.8"/>
  </r>
  <r>
    <x v="7"/>
    <x v="7"/>
    <x v="15"/>
    <n v="40"/>
    <n v="3"/>
    <n v="120"/>
  </r>
  <r>
    <x v="7"/>
    <x v="7"/>
    <x v="16"/>
    <n v="390"/>
    <n v="2"/>
    <n v="780"/>
  </r>
  <r>
    <x v="5"/>
    <x v="5"/>
    <x v="3"/>
    <n v="148.56"/>
    <n v="2"/>
    <n v="297.12"/>
  </r>
  <r>
    <x v="5"/>
    <x v="5"/>
    <x v="2"/>
    <n v="153.4"/>
    <n v="1"/>
    <n v="153.4"/>
  </r>
  <r>
    <x v="5"/>
    <x v="5"/>
    <x v="17"/>
    <n v="40"/>
    <n v="3"/>
    <n v="120"/>
  </r>
  <r>
    <x v="4"/>
    <x v="4"/>
    <x v="12"/>
    <n v="81.900000000000006"/>
    <n v="8"/>
    <n v="655.20000000000005"/>
  </r>
  <r>
    <x v="4"/>
    <x v="4"/>
    <x v="2"/>
    <n v="153.4"/>
    <n v="1"/>
    <n v="15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AB6A6-0529-45F1-BF62-C122AA922356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H4:I8" firstHeaderRow="1" firstDataRow="1" firstDataCol="1"/>
  <pivotFields count="6">
    <pivotField showAll="0">
      <items count="9">
        <item h="1" x="5"/>
        <item h="1" x="3"/>
        <item x="6"/>
        <item h="1" x="7"/>
        <item h="1" x="1"/>
        <item h="1" x="0"/>
        <item h="1" x="2"/>
        <item h="1" x="4"/>
        <item t="default"/>
      </items>
    </pivotField>
    <pivotField showAll="0"/>
    <pivotField axis="axisRow" showAll="0">
      <items count="19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t="default"/>
      </items>
    </pivotField>
    <pivotField showAll="0"/>
    <pivotField showAll="0"/>
    <pivotField dataField="1" numFmtId="8" showAll="0"/>
  </pivotFields>
  <rowFields count="1">
    <field x="2"/>
  </rowFields>
  <rowItems count="4">
    <i>
      <x v="12"/>
    </i>
    <i>
      <x v="16"/>
    </i>
    <i>
      <x v="17"/>
    </i>
    <i t="grand">
      <x/>
    </i>
  </rowItems>
  <colItems count="1">
    <i/>
  </colItems>
  <dataFields count="1">
    <dataField name="Soma de  Total " fld="5" baseField="0" baseItem="0" numFmtId="8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A5249-B892-4E4F-B055-B6C51A83A33D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7" firstHeaderRow="0" firstDataRow="1" firstDataCol="2" rowPageCount="1" colPageCount="1"/>
  <pivotFields count="6">
    <pivotField axis="axisPage" compact="0" outline="0" showAll="0">
      <items count="9">
        <item x="5"/>
        <item x="3"/>
        <item x="6"/>
        <item x="7"/>
        <item x="1"/>
        <item x="0"/>
        <item x="2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5"/>
        <item x="3"/>
        <item x="6"/>
        <item x="7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8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4">
    <i>
      <x v="2"/>
      <x v="12"/>
    </i>
    <i r="1">
      <x v="16"/>
    </i>
    <i r="1"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2" hier="-1"/>
  </pageFields>
  <dataFields count="3">
    <dataField name="Soma de Unidades Vendidas" fld="4" baseField="0" baseItem="0"/>
    <dataField name="Soma de Valor Unitário" fld="3" baseField="0" baseItem="0"/>
    <dataField name="Soma de  Total " fld="5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AA978767-5F55-43B1-B020-029019B9FB62}" sourceName="Vendedor">
  <pivotTables>
    <pivotTable tabId="4" name="Tabela dinâmica1"/>
    <pivotTable tabId="4" name="Tabela dinâmica3"/>
  </pivotTables>
  <data>
    <tabular pivotCacheId="1537889275">
      <items count="8">
        <i x="5"/>
        <i x="3"/>
        <i x="6" s="1"/>
        <i x="7"/>
        <i x="1"/>
        <i x="0"/>
        <i x="2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97132A89-AB16-4D57-8D94-FC89F3ADC9FE}" cache="SegmentaçãodeDados_Vendedor" caption="Vendedo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E4485-CA16-4F99-BCCC-A02C92474BF2}" name="Tabela1" displayName="Tabela1" ref="A1:F38" totalsRowShown="0">
  <autoFilter ref="A1:F38" xr:uid="{26AE4485-CA16-4F99-BCCC-A02C92474BF2}"/>
  <tableColumns count="6">
    <tableColumn id="1" xr3:uid="{0EF6EB4A-18A4-4639-B970-C7B7CA815BB0}" name="Vendedor"/>
    <tableColumn id="2" xr3:uid="{0F2BE8DB-A98C-4FF4-8050-59D556C1DA1A}" name="Vendedor2"/>
    <tableColumn id="3" xr3:uid="{8DB955DE-D15F-4D95-89C1-59F1E0ADDEE4}" name="Produto"/>
    <tableColumn id="4" xr3:uid="{80E20893-DC0C-4D1A-BAF8-4B3841E16218}" name="Valor Unitário"/>
    <tableColumn id="5" xr3:uid="{E92492B4-54ED-42CA-AAA8-3D48CC131503}" name="Unidades Vendidas"/>
    <tableColumn id="6" xr3:uid="{53C01B08-6BF6-4D30-810F-C9C54A2277CF}" name=" Total 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83A1-064B-4E78-A12C-77460512D36D}">
  <sheetPr codeName="Planilha1"/>
  <dimension ref="A1:F38"/>
  <sheetViews>
    <sheetView tabSelected="1" workbookViewId="0">
      <selection activeCell="F40" sqref="F40"/>
    </sheetView>
  </sheetViews>
  <sheetFormatPr defaultRowHeight="15" x14ac:dyDescent="0.25"/>
  <cols>
    <col min="1" max="2" width="17.42578125" bestFit="1" customWidth="1"/>
    <col min="3" max="3" width="28.5703125" bestFit="1" customWidth="1"/>
    <col min="4" max="4" width="15.5703125" bestFit="1" customWidth="1"/>
    <col min="5" max="5" width="20.285156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31</v>
      </c>
      <c r="E1" t="s">
        <v>3</v>
      </c>
      <c r="F1" t="s">
        <v>4</v>
      </c>
    </row>
    <row r="2" spans="1:6" x14ac:dyDescent="0.25">
      <c r="A2" t="s">
        <v>5</v>
      </c>
      <c r="B2" t="s">
        <v>5</v>
      </c>
      <c r="C2" t="s">
        <v>25</v>
      </c>
      <c r="D2">
        <v>89.99</v>
      </c>
      <c r="E2">
        <v>3</v>
      </c>
      <c r="F2" s="1">
        <v>269.97000000000003</v>
      </c>
    </row>
    <row r="3" spans="1:6" x14ac:dyDescent="0.25">
      <c r="A3" t="s">
        <v>6</v>
      </c>
      <c r="B3" t="s">
        <v>6</v>
      </c>
      <c r="C3" t="s">
        <v>26</v>
      </c>
      <c r="D3">
        <v>69.989999999999995</v>
      </c>
      <c r="E3">
        <v>5</v>
      </c>
      <c r="F3" s="1">
        <v>349.95</v>
      </c>
    </row>
    <row r="4" spans="1:6" x14ac:dyDescent="0.25">
      <c r="A4" t="s">
        <v>7</v>
      </c>
      <c r="B4" t="s">
        <v>7</v>
      </c>
      <c r="C4" t="s">
        <v>8</v>
      </c>
      <c r="D4">
        <v>153.4</v>
      </c>
      <c r="E4">
        <v>1</v>
      </c>
      <c r="F4" s="1">
        <v>153.4</v>
      </c>
    </row>
    <row r="5" spans="1:6" x14ac:dyDescent="0.25">
      <c r="A5" t="s">
        <v>9</v>
      </c>
      <c r="B5" t="s">
        <v>9</v>
      </c>
      <c r="C5" t="s">
        <v>10</v>
      </c>
      <c r="D5">
        <v>148.56</v>
      </c>
      <c r="E5">
        <v>9</v>
      </c>
      <c r="F5" s="1">
        <v>1337.04</v>
      </c>
    </row>
    <row r="6" spans="1:6" x14ac:dyDescent="0.25">
      <c r="A6" t="s">
        <v>11</v>
      </c>
      <c r="B6" t="s">
        <v>11</v>
      </c>
      <c r="C6" t="s">
        <v>12</v>
      </c>
      <c r="D6">
        <v>146.13999999999999</v>
      </c>
      <c r="E6">
        <v>1</v>
      </c>
      <c r="F6" s="1">
        <v>146.13999999999999</v>
      </c>
    </row>
    <row r="7" spans="1:6" x14ac:dyDescent="0.25">
      <c r="A7" t="s">
        <v>13</v>
      </c>
      <c r="B7" t="s">
        <v>13</v>
      </c>
      <c r="C7" t="s">
        <v>14</v>
      </c>
      <c r="D7">
        <v>224.14</v>
      </c>
      <c r="E7">
        <v>4</v>
      </c>
      <c r="F7" s="1">
        <v>896.56</v>
      </c>
    </row>
    <row r="8" spans="1:6" x14ac:dyDescent="0.25">
      <c r="A8" t="s">
        <v>5</v>
      </c>
      <c r="B8" t="s">
        <v>5</v>
      </c>
      <c r="C8" t="s">
        <v>15</v>
      </c>
      <c r="D8">
        <v>150.5</v>
      </c>
      <c r="E8">
        <v>4</v>
      </c>
      <c r="F8" s="1">
        <v>602</v>
      </c>
    </row>
    <row r="9" spans="1:6" x14ac:dyDescent="0.25">
      <c r="A9" t="s">
        <v>6</v>
      </c>
      <c r="B9" t="s">
        <v>6</v>
      </c>
      <c r="C9" t="s">
        <v>16</v>
      </c>
      <c r="D9">
        <v>248.73</v>
      </c>
      <c r="E9">
        <v>1</v>
      </c>
      <c r="F9" s="1">
        <v>248.73</v>
      </c>
    </row>
    <row r="10" spans="1:6" x14ac:dyDescent="0.25">
      <c r="A10" t="s">
        <v>7</v>
      </c>
      <c r="B10" t="s">
        <v>7</v>
      </c>
      <c r="C10" t="s">
        <v>17</v>
      </c>
      <c r="D10">
        <v>116.52</v>
      </c>
      <c r="E10">
        <v>1</v>
      </c>
      <c r="F10" s="1">
        <v>116.52</v>
      </c>
    </row>
    <row r="11" spans="1:6" x14ac:dyDescent="0.25">
      <c r="A11" t="s">
        <v>9</v>
      </c>
      <c r="B11" t="s">
        <v>9</v>
      </c>
      <c r="C11" t="s">
        <v>18</v>
      </c>
      <c r="D11">
        <v>59.9</v>
      </c>
      <c r="E11">
        <v>1</v>
      </c>
      <c r="F11" s="1">
        <v>59.9</v>
      </c>
    </row>
    <row r="12" spans="1:6" x14ac:dyDescent="0.25">
      <c r="A12" t="s">
        <v>5</v>
      </c>
      <c r="B12" t="s">
        <v>5</v>
      </c>
      <c r="C12" t="s">
        <v>27</v>
      </c>
      <c r="D12">
        <v>46.9</v>
      </c>
      <c r="E12">
        <v>1</v>
      </c>
      <c r="F12" s="1">
        <v>46.9</v>
      </c>
    </row>
    <row r="13" spans="1:6" x14ac:dyDescent="0.25">
      <c r="A13" t="s">
        <v>6</v>
      </c>
      <c r="B13" t="s">
        <v>6</v>
      </c>
      <c r="C13" t="s">
        <v>28</v>
      </c>
      <c r="D13">
        <v>41.9</v>
      </c>
      <c r="E13">
        <v>4</v>
      </c>
      <c r="F13" s="1">
        <v>167.6</v>
      </c>
    </row>
    <row r="14" spans="1:6" x14ac:dyDescent="0.25">
      <c r="A14" t="s">
        <v>7</v>
      </c>
      <c r="B14" t="s">
        <v>7</v>
      </c>
      <c r="C14" t="s">
        <v>19</v>
      </c>
      <c r="D14">
        <v>81.900000000000006</v>
      </c>
      <c r="E14">
        <v>9</v>
      </c>
      <c r="F14" s="1">
        <v>737.1</v>
      </c>
    </row>
    <row r="15" spans="1:6" x14ac:dyDescent="0.25">
      <c r="A15" t="s">
        <v>9</v>
      </c>
      <c r="B15" t="s">
        <v>9</v>
      </c>
      <c r="C15" t="s">
        <v>20</v>
      </c>
      <c r="D15">
        <v>55.9</v>
      </c>
      <c r="E15">
        <v>2</v>
      </c>
      <c r="F15" s="1">
        <v>111.8</v>
      </c>
    </row>
    <row r="16" spans="1:6" x14ac:dyDescent="0.25">
      <c r="A16" t="s">
        <v>6</v>
      </c>
      <c r="B16" t="s">
        <v>6</v>
      </c>
      <c r="C16" t="s">
        <v>21</v>
      </c>
      <c r="D16">
        <v>89.9</v>
      </c>
      <c r="E16">
        <v>1</v>
      </c>
      <c r="F16" s="1">
        <v>89.9</v>
      </c>
    </row>
    <row r="17" spans="1:6" x14ac:dyDescent="0.25">
      <c r="A17" t="s">
        <v>22</v>
      </c>
      <c r="B17" t="s">
        <v>22</v>
      </c>
      <c r="C17" t="s">
        <v>25</v>
      </c>
      <c r="D17">
        <v>89.99</v>
      </c>
      <c r="E17">
        <v>1</v>
      </c>
      <c r="F17" s="1">
        <v>89.99</v>
      </c>
    </row>
    <row r="18" spans="1:6" x14ac:dyDescent="0.25">
      <c r="A18" t="s">
        <v>23</v>
      </c>
      <c r="B18" t="s">
        <v>23</v>
      </c>
      <c r="C18" t="s">
        <v>26</v>
      </c>
      <c r="D18">
        <v>69.989999999999995</v>
      </c>
      <c r="E18">
        <v>1</v>
      </c>
      <c r="F18" s="1">
        <v>69.989999999999995</v>
      </c>
    </row>
    <row r="19" spans="1:6" x14ac:dyDescent="0.25">
      <c r="A19" t="s">
        <v>6</v>
      </c>
      <c r="B19" t="s">
        <v>6</v>
      </c>
      <c r="C19" t="s">
        <v>8</v>
      </c>
      <c r="D19">
        <v>153.4</v>
      </c>
      <c r="E19">
        <v>2</v>
      </c>
      <c r="F19" s="1">
        <v>306.8</v>
      </c>
    </row>
    <row r="20" spans="1:6" x14ac:dyDescent="0.25">
      <c r="A20" t="s">
        <v>7</v>
      </c>
      <c r="B20" t="s">
        <v>7</v>
      </c>
      <c r="C20" t="s">
        <v>10</v>
      </c>
      <c r="D20">
        <v>148.56</v>
      </c>
      <c r="E20">
        <v>6</v>
      </c>
      <c r="F20" s="1">
        <v>891.36</v>
      </c>
    </row>
    <row r="21" spans="1:6" x14ac:dyDescent="0.25">
      <c r="A21" t="s">
        <v>5</v>
      </c>
      <c r="B21" t="s">
        <v>5</v>
      </c>
      <c r="C21" t="s">
        <v>12</v>
      </c>
      <c r="D21">
        <v>146.13999999999999</v>
      </c>
      <c r="E21">
        <v>1</v>
      </c>
      <c r="F21" s="1">
        <v>146.13999999999999</v>
      </c>
    </row>
    <row r="22" spans="1:6" x14ac:dyDescent="0.25">
      <c r="A22" t="s">
        <v>13</v>
      </c>
      <c r="B22" t="s">
        <v>13</v>
      </c>
      <c r="C22" t="s">
        <v>14</v>
      </c>
      <c r="D22">
        <v>224.14</v>
      </c>
      <c r="E22">
        <v>1</v>
      </c>
      <c r="F22" s="1">
        <v>224.14</v>
      </c>
    </row>
    <row r="23" spans="1:6" x14ac:dyDescent="0.25">
      <c r="A23" t="s">
        <v>5</v>
      </c>
      <c r="B23" t="s">
        <v>5</v>
      </c>
      <c r="C23" t="s">
        <v>15</v>
      </c>
      <c r="D23">
        <v>150.5</v>
      </c>
      <c r="E23">
        <v>5</v>
      </c>
      <c r="F23" s="1">
        <v>752.5</v>
      </c>
    </row>
    <row r="24" spans="1:6" x14ac:dyDescent="0.25">
      <c r="A24" t="s">
        <v>6</v>
      </c>
      <c r="B24" t="s">
        <v>6</v>
      </c>
      <c r="C24" t="s">
        <v>16</v>
      </c>
      <c r="D24">
        <v>248.73</v>
      </c>
      <c r="E24">
        <v>2</v>
      </c>
      <c r="F24" s="1">
        <v>497.46</v>
      </c>
    </row>
    <row r="25" spans="1:6" x14ac:dyDescent="0.25">
      <c r="A25" t="s">
        <v>7</v>
      </c>
      <c r="B25" t="s">
        <v>7</v>
      </c>
      <c r="C25" t="s">
        <v>17</v>
      </c>
      <c r="D25">
        <v>116.52</v>
      </c>
      <c r="E25">
        <v>3</v>
      </c>
      <c r="F25" s="1">
        <v>349.56</v>
      </c>
    </row>
    <row r="26" spans="1:6" x14ac:dyDescent="0.25">
      <c r="A26" t="s">
        <v>9</v>
      </c>
      <c r="B26" t="s">
        <v>9</v>
      </c>
      <c r="C26" t="s">
        <v>18</v>
      </c>
      <c r="D26">
        <v>59.9</v>
      </c>
      <c r="E26">
        <v>2</v>
      </c>
      <c r="F26" s="1">
        <v>119.8</v>
      </c>
    </row>
    <row r="27" spans="1:6" x14ac:dyDescent="0.25">
      <c r="A27" t="s">
        <v>6</v>
      </c>
      <c r="B27" t="s">
        <v>6</v>
      </c>
      <c r="C27" t="s">
        <v>27</v>
      </c>
      <c r="D27">
        <v>46.9</v>
      </c>
      <c r="E27">
        <v>2</v>
      </c>
      <c r="F27" s="1">
        <v>93.8</v>
      </c>
    </row>
    <row r="28" spans="1:6" x14ac:dyDescent="0.25">
      <c r="A28" t="s">
        <v>7</v>
      </c>
      <c r="B28" t="s">
        <v>7</v>
      </c>
      <c r="C28" t="s">
        <v>28</v>
      </c>
      <c r="D28">
        <v>41.9</v>
      </c>
      <c r="E28">
        <v>2</v>
      </c>
      <c r="F28" s="1">
        <v>83.8</v>
      </c>
    </row>
    <row r="29" spans="1:6" x14ac:dyDescent="0.25">
      <c r="A29" t="s">
        <v>9</v>
      </c>
      <c r="B29" t="s">
        <v>9</v>
      </c>
      <c r="C29" t="s">
        <v>19</v>
      </c>
      <c r="D29">
        <v>81.900000000000006</v>
      </c>
      <c r="E29">
        <v>4</v>
      </c>
      <c r="F29" s="1">
        <v>327.60000000000002</v>
      </c>
    </row>
    <row r="30" spans="1:6" x14ac:dyDescent="0.25">
      <c r="A30" t="s">
        <v>22</v>
      </c>
      <c r="B30" t="s">
        <v>22</v>
      </c>
      <c r="C30" t="s">
        <v>17</v>
      </c>
      <c r="D30">
        <v>116.52</v>
      </c>
      <c r="E30">
        <v>3</v>
      </c>
      <c r="F30" s="1">
        <v>349.56</v>
      </c>
    </row>
    <row r="31" spans="1:6" x14ac:dyDescent="0.25">
      <c r="A31" t="s">
        <v>22</v>
      </c>
      <c r="B31" t="s">
        <v>22</v>
      </c>
      <c r="C31" t="s">
        <v>18</v>
      </c>
      <c r="D31">
        <v>59.9</v>
      </c>
      <c r="E31">
        <v>2</v>
      </c>
      <c r="F31" s="1">
        <v>119.8</v>
      </c>
    </row>
    <row r="32" spans="1:6" x14ac:dyDescent="0.25">
      <c r="A32" t="s">
        <v>23</v>
      </c>
      <c r="B32" t="s">
        <v>23</v>
      </c>
      <c r="C32" t="s">
        <v>29</v>
      </c>
      <c r="D32">
        <v>40</v>
      </c>
      <c r="E32">
        <v>3</v>
      </c>
      <c r="F32" s="1">
        <v>120</v>
      </c>
    </row>
    <row r="33" spans="1:6" x14ac:dyDescent="0.25">
      <c r="A33" t="s">
        <v>23</v>
      </c>
      <c r="B33" t="s">
        <v>23</v>
      </c>
      <c r="C33" t="s">
        <v>30</v>
      </c>
      <c r="D33">
        <v>390</v>
      </c>
      <c r="E33">
        <v>2</v>
      </c>
      <c r="F33" s="1">
        <v>780</v>
      </c>
    </row>
    <row r="34" spans="1:6" x14ac:dyDescent="0.25">
      <c r="A34" t="s">
        <v>13</v>
      </c>
      <c r="B34" t="s">
        <v>13</v>
      </c>
      <c r="C34" t="s">
        <v>10</v>
      </c>
      <c r="D34">
        <v>148.56</v>
      </c>
      <c r="E34">
        <v>2</v>
      </c>
      <c r="F34" s="1">
        <v>297.12</v>
      </c>
    </row>
    <row r="35" spans="1:6" x14ac:dyDescent="0.25">
      <c r="A35" t="s">
        <v>13</v>
      </c>
      <c r="B35" t="s">
        <v>13</v>
      </c>
      <c r="C35" t="s">
        <v>8</v>
      </c>
      <c r="D35">
        <v>153.4</v>
      </c>
      <c r="E35">
        <v>1</v>
      </c>
      <c r="F35" s="1">
        <v>153.4</v>
      </c>
    </row>
    <row r="36" spans="1:6" x14ac:dyDescent="0.25">
      <c r="A36" t="s">
        <v>13</v>
      </c>
      <c r="B36" t="s">
        <v>13</v>
      </c>
      <c r="C36" t="s">
        <v>24</v>
      </c>
      <c r="D36">
        <v>40</v>
      </c>
      <c r="E36">
        <v>3</v>
      </c>
      <c r="F36" s="1">
        <v>120</v>
      </c>
    </row>
    <row r="37" spans="1:6" x14ac:dyDescent="0.25">
      <c r="A37" t="s">
        <v>11</v>
      </c>
      <c r="B37" t="s">
        <v>11</v>
      </c>
      <c r="C37" t="s">
        <v>19</v>
      </c>
      <c r="D37">
        <v>81.900000000000006</v>
      </c>
      <c r="E37">
        <v>8</v>
      </c>
      <c r="F37" s="1">
        <v>655.20000000000005</v>
      </c>
    </row>
    <row r="38" spans="1:6" x14ac:dyDescent="0.25">
      <c r="A38" t="s">
        <v>11</v>
      </c>
      <c r="B38" t="s">
        <v>11</v>
      </c>
      <c r="C38" t="s">
        <v>8</v>
      </c>
      <c r="D38">
        <v>153.4</v>
      </c>
      <c r="E38">
        <v>1</v>
      </c>
      <c r="F38" s="1">
        <v>153.4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018E-27A5-47D7-86DC-3AE7E0B9AE2B}">
  <sheetPr codeName="Planilha2"/>
  <dimension ref="A1:F9"/>
  <sheetViews>
    <sheetView workbookViewId="0"/>
  </sheetViews>
  <sheetFormatPr defaultRowHeight="15" x14ac:dyDescent="0.25"/>
  <cols>
    <col min="1" max="2" width="13.7109375" bestFit="1" customWidth="1"/>
    <col min="3" max="3" width="17.42578125" bestFit="1" customWidth="1"/>
    <col min="4" max="4" width="10" bestFit="1" customWidth="1"/>
    <col min="5" max="5" width="11.42578125" bestFit="1" customWidth="1"/>
    <col min="6" max="6" width="10.7109375" bestFit="1" customWidth="1"/>
  </cols>
  <sheetData>
    <row r="1" spans="1:6" x14ac:dyDescent="0.25">
      <c r="A1" t="s">
        <v>32</v>
      </c>
      <c r="B1" t="s">
        <v>33</v>
      </c>
      <c r="C1" t="s">
        <v>0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 t="s">
        <v>37</v>
      </c>
      <c r="C2" t="s">
        <v>9</v>
      </c>
      <c r="D2" t="s">
        <v>38</v>
      </c>
      <c r="E2">
        <v>16</v>
      </c>
      <c r="F2" s="1">
        <v>1956.14</v>
      </c>
    </row>
    <row r="3" spans="1:6" x14ac:dyDescent="0.25">
      <c r="A3" t="s">
        <v>41</v>
      </c>
      <c r="B3" t="s">
        <v>41</v>
      </c>
      <c r="C3" t="s">
        <v>22</v>
      </c>
      <c r="D3" t="s">
        <v>38</v>
      </c>
      <c r="E3">
        <v>8</v>
      </c>
      <c r="F3" s="1">
        <v>559.35</v>
      </c>
    </row>
    <row r="4" spans="1:6" x14ac:dyDescent="0.25">
      <c r="A4" t="s">
        <v>41</v>
      </c>
      <c r="B4" t="s">
        <v>41</v>
      </c>
      <c r="C4" t="s">
        <v>23</v>
      </c>
      <c r="D4" t="s">
        <v>39</v>
      </c>
      <c r="E4">
        <v>6</v>
      </c>
      <c r="F4" s="1">
        <v>969.99</v>
      </c>
    </row>
    <row r="5" spans="1:6" x14ac:dyDescent="0.25">
      <c r="A5" t="s">
        <v>37</v>
      </c>
      <c r="B5" t="s">
        <v>37</v>
      </c>
      <c r="C5" t="s">
        <v>6</v>
      </c>
      <c r="D5" t="s">
        <v>38</v>
      </c>
      <c r="E5">
        <v>18</v>
      </c>
      <c r="F5" s="1">
        <v>1754.24</v>
      </c>
    </row>
    <row r="6" spans="1:6" x14ac:dyDescent="0.25">
      <c r="A6" t="s">
        <v>40</v>
      </c>
      <c r="B6" t="s">
        <v>40</v>
      </c>
      <c r="C6" t="s">
        <v>13</v>
      </c>
      <c r="D6" t="s">
        <v>38</v>
      </c>
      <c r="E6">
        <v>7</v>
      </c>
      <c r="F6" s="1">
        <v>1691.22</v>
      </c>
    </row>
    <row r="7" spans="1:6" x14ac:dyDescent="0.25">
      <c r="A7" t="s">
        <v>37</v>
      </c>
      <c r="B7" t="s">
        <v>37</v>
      </c>
      <c r="C7" t="s">
        <v>5</v>
      </c>
      <c r="D7" t="s">
        <v>39</v>
      </c>
      <c r="E7">
        <v>12</v>
      </c>
      <c r="F7" s="1">
        <v>1817.51</v>
      </c>
    </row>
    <row r="8" spans="1:6" x14ac:dyDescent="0.25">
      <c r="A8" t="s">
        <v>40</v>
      </c>
      <c r="B8" t="s">
        <v>40</v>
      </c>
      <c r="C8" t="s">
        <v>7</v>
      </c>
      <c r="D8" t="s">
        <v>39</v>
      </c>
      <c r="E8">
        <v>16</v>
      </c>
      <c r="F8" s="1">
        <v>2331.7399999999998</v>
      </c>
    </row>
    <row r="9" spans="1:6" x14ac:dyDescent="0.25">
      <c r="A9" t="s">
        <v>41</v>
      </c>
      <c r="B9" t="s">
        <v>41</v>
      </c>
      <c r="C9" t="s">
        <v>11</v>
      </c>
      <c r="D9" t="s">
        <v>39</v>
      </c>
      <c r="E9">
        <v>20</v>
      </c>
      <c r="F9" s="1">
        <v>954.74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4783-62DB-4498-A16A-461FBCC364DE}">
  <sheetPr codeName="Planilha3"/>
  <dimension ref="A1"/>
  <sheetViews>
    <sheetView workbookViewId="0">
      <selection activeCell="Q7" sqref="Q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8490-EC48-4E06-AF90-2DEF06B7ECBD}">
  <sheetPr codeName="Planilha4"/>
  <dimension ref="A1:I8"/>
  <sheetViews>
    <sheetView showGridLines="0" zoomScale="85" zoomScaleNormal="85" workbookViewId="0">
      <selection activeCell="F14" sqref="F14:K30"/>
    </sheetView>
  </sheetViews>
  <sheetFormatPr defaultRowHeight="15" x14ac:dyDescent="0.25"/>
  <cols>
    <col min="1" max="1" width="32.42578125" bestFit="1" customWidth="1"/>
    <col min="2" max="2" width="28.42578125" bestFit="1" customWidth="1"/>
    <col min="3" max="3" width="26.7109375" bestFit="1" customWidth="1"/>
    <col min="4" max="4" width="21.85546875" bestFit="1" customWidth="1"/>
    <col min="5" max="5" width="14.42578125" bestFit="1" customWidth="1"/>
    <col min="8" max="8" width="28.42578125" bestFit="1" customWidth="1"/>
    <col min="9" max="9" width="14.42578125" bestFit="1" customWidth="1"/>
  </cols>
  <sheetData>
    <row r="1" spans="1:9" x14ac:dyDescent="0.25">
      <c r="A1" s="2" t="s">
        <v>0</v>
      </c>
      <c r="B1" t="s">
        <v>22</v>
      </c>
    </row>
    <row r="3" spans="1:9" x14ac:dyDescent="0.25">
      <c r="A3" s="2" t="s">
        <v>1</v>
      </c>
      <c r="B3" s="2" t="s">
        <v>2</v>
      </c>
      <c r="C3" t="s">
        <v>43</v>
      </c>
      <c r="D3" t="s">
        <v>44</v>
      </c>
      <c r="E3" t="s">
        <v>45</v>
      </c>
    </row>
    <row r="4" spans="1:9" x14ac:dyDescent="0.25">
      <c r="A4" t="s">
        <v>22</v>
      </c>
      <c r="B4" t="s">
        <v>17</v>
      </c>
      <c r="C4" s="6">
        <v>3</v>
      </c>
      <c r="D4" s="6">
        <v>116.52</v>
      </c>
      <c r="E4" s="1">
        <v>349.56</v>
      </c>
      <c r="H4" s="2" t="s">
        <v>60</v>
      </c>
      <c r="I4" t="s">
        <v>45</v>
      </c>
    </row>
    <row r="5" spans="1:9" x14ac:dyDescent="0.25">
      <c r="A5" t="s">
        <v>22</v>
      </c>
      <c r="B5" t="s">
        <v>25</v>
      </c>
      <c r="C5" s="6">
        <v>1</v>
      </c>
      <c r="D5" s="6">
        <v>89.99</v>
      </c>
      <c r="E5" s="1">
        <v>89.99</v>
      </c>
      <c r="H5" s="14" t="s">
        <v>17</v>
      </c>
      <c r="I5" s="1">
        <v>349.56</v>
      </c>
    </row>
    <row r="6" spans="1:9" x14ac:dyDescent="0.25">
      <c r="A6" t="s">
        <v>22</v>
      </c>
      <c r="B6" t="s">
        <v>18</v>
      </c>
      <c r="C6" s="6">
        <v>2</v>
      </c>
      <c r="D6" s="6">
        <v>59.9</v>
      </c>
      <c r="E6" s="1">
        <v>119.8</v>
      </c>
      <c r="H6" s="14" t="s">
        <v>25</v>
      </c>
      <c r="I6" s="1">
        <v>89.99</v>
      </c>
    </row>
    <row r="7" spans="1:9" x14ac:dyDescent="0.25">
      <c r="A7" t="s">
        <v>42</v>
      </c>
      <c r="C7" s="6">
        <v>6</v>
      </c>
      <c r="D7" s="6">
        <v>266.40999999999997</v>
      </c>
      <c r="E7" s="1">
        <v>559.35</v>
      </c>
      <c r="H7" s="14" t="s">
        <v>18</v>
      </c>
      <c r="I7" s="1">
        <v>119.8</v>
      </c>
    </row>
    <row r="8" spans="1:9" x14ac:dyDescent="0.25">
      <c r="H8" s="14" t="s">
        <v>42</v>
      </c>
      <c r="I8" s="1">
        <v>559.35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12F2-82D0-4F5C-82E1-C8C9C613E79C}">
  <sheetPr codeName="Planilha5"/>
  <dimension ref="D1:P39"/>
  <sheetViews>
    <sheetView showGridLines="0" showRowColHeaders="0" zoomScaleNormal="100" workbookViewId="0">
      <selection activeCell="N37" sqref="N37"/>
    </sheetView>
  </sheetViews>
  <sheetFormatPr defaultColWidth="0" defaultRowHeight="15" zeroHeight="1" x14ac:dyDescent="0.25"/>
  <cols>
    <col min="1" max="1" width="9.28515625" customWidth="1"/>
    <col min="2" max="3" width="9.140625" customWidth="1"/>
    <col min="4" max="4" width="12.42578125" customWidth="1"/>
    <col min="5" max="10" width="9.140625" customWidth="1"/>
    <col min="11" max="11" width="28.5703125" bestFit="1" customWidth="1"/>
    <col min="12" max="12" width="12.140625" style="8" bestFit="1" customWidth="1"/>
    <col min="13" max="14" width="9.140625" customWidth="1"/>
    <col min="17" max="16384" width="9.140625" hidden="1"/>
  </cols>
  <sheetData>
    <row r="1" spans="4:12" ht="15.75" thickBot="1" x14ac:dyDescent="0.3">
      <c r="D1" s="11" t="s">
        <v>61</v>
      </c>
      <c r="E1" s="11"/>
      <c r="F1" s="11"/>
      <c r="G1" s="11"/>
    </row>
    <row r="2" spans="4:12" ht="16.5" thickBot="1" x14ac:dyDescent="0.3">
      <c r="K2" s="12" t="s">
        <v>59</v>
      </c>
      <c r="L2" s="13"/>
    </row>
    <row r="3" spans="4:12" x14ac:dyDescent="0.25"/>
    <row r="4" spans="4:12" x14ac:dyDescent="0.25"/>
    <row r="5" spans="4:12" x14ac:dyDescent="0.25"/>
    <row r="6" spans="4:12" x14ac:dyDescent="0.25"/>
    <row r="7" spans="4:12" x14ac:dyDescent="0.25"/>
    <row r="8" spans="4:12" x14ac:dyDescent="0.25"/>
    <row r="9" spans="4:12" x14ac:dyDescent="0.25"/>
    <row r="10" spans="4:12" ht="15.75" thickBot="1" x14ac:dyDescent="0.3"/>
    <row r="11" spans="4:12" ht="15.75" thickBot="1" x14ac:dyDescent="0.3">
      <c r="K11" s="9" t="s">
        <v>2</v>
      </c>
      <c r="L11" s="10" t="s">
        <v>58</v>
      </c>
    </row>
    <row r="12" spans="4:12" x14ac:dyDescent="0.25">
      <c r="K12" t="str">
        <f t="array" ref="K12">IFERROR(INDEX(Pivot!$A$4:$E$115,SMALL(IF(Pivot!$A$4:$A$154=Pivot!$B$1,ROW(Pivot!$A$4:$A$100)-3),ROW(A1)),2),"")</f>
        <v>Kit de Pinceis de Maquiagem</v>
      </c>
      <c r="L12" s="8">
        <f t="array" ref="L12">IFERROR(INDEX(Pivot!$A$4:$E$115,SMALL(IF(Pivot!$A$4:$A$154=Pivot!$B$1,ROW(Pivot!$A$4:$A$100)-3),ROW(A1)),5),"")</f>
        <v>349.56</v>
      </c>
    </row>
    <row r="13" spans="4:12" x14ac:dyDescent="0.25">
      <c r="K13" t="str">
        <f t="array" ref="K13">IFERROR(INDEX(Pivot!$A$4:$E$115,SMALL(IF(Pivot!$A$4:$A$154=Pivot!$B$1,ROW(Pivot!$A$4:$A$100)-3),ROW(A2)),2),"")</f>
        <v>Tênis Feminino</v>
      </c>
      <c r="L13" s="8">
        <f t="array" ref="L13">IFERROR(INDEX(Pivot!$A$4:$E$115,SMALL(IF(Pivot!$A$4:$A$154=Pivot!$B$1,ROW(Pivot!$A$4:$A$100)-3),ROW(A2)),5),"")</f>
        <v>89.99</v>
      </c>
    </row>
    <row r="14" spans="4:12" x14ac:dyDescent="0.25">
      <c r="K14" t="str">
        <f t="array" ref="K14">IFERROR(INDEX(Pivot!$A$4:$E$115,SMALL(IF(Pivot!$A$4:$A$154=Pivot!$B$1,ROW(Pivot!$A$4:$A$100)-3),ROW(A3)),2),"")</f>
        <v>Vestido Infantil</v>
      </c>
      <c r="L14" s="8">
        <f t="array" ref="L14">IFERROR(INDEX(Pivot!$A$4:$E$115,SMALL(IF(Pivot!$A$4:$A$154=Pivot!$B$1,ROW(Pivot!$A$4:$A$100)-3),ROW(A3)),5),"")</f>
        <v>119.8</v>
      </c>
    </row>
    <row r="15" spans="4:12" x14ac:dyDescent="0.25">
      <c r="K15" t="str">
        <f t="array" ref="K15">IFERROR(INDEX(Pivot!$A$4:$E$115,SMALL(IF(Pivot!$A$4:$A$154=Pivot!$B$1,ROW(Pivot!$A$4:$A$100)-3),ROW(A4)),2),"")</f>
        <v/>
      </c>
      <c r="L15" s="8" t="str">
        <f t="array" ref="L15">IFERROR(INDEX(Pivot!$A$4:$E$115,SMALL(IF(Pivot!$A$4:$A$154=Pivot!$B$1,ROW(Pivot!$A$4:$A$100)-3),ROW(A4)),5),"")</f>
        <v/>
      </c>
    </row>
    <row r="16" spans="4:12" x14ac:dyDescent="0.25">
      <c r="K16" t="str">
        <f t="array" ref="K16">IFERROR(INDEX(Pivot!$A$4:$E$115,SMALL(IF(Pivot!$A$4:$A$154=Pivot!$B$1,ROW(Pivot!$A$4:$A$100)-3),ROW(A5)),2),"")</f>
        <v/>
      </c>
      <c r="L16" s="8" t="str">
        <f t="array" ref="L16">IFERROR(INDEX(Pivot!$A$4:$E$115,SMALL(IF(Pivot!$A$4:$A$154=Pivot!$B$1,ROW(Pivot!$A$4:$A$100)-3),ROW(A5)),5),"")</f>
        <v/>
      </c>
    </row>
    <row r="17" spans="11:12" x14ac:dyDescent="0.25">
      <c r="K17" t="str">
        <f t="array" ref="K17">IFERROR(INDEX(Pivot!$A$4:$E$115,SMALL(IF(Pivot!$A$4:$A$154=Pivot!$B$1,ROW(Pivot!$A$4:$A$100)-3),ROW(A6)),2),"")</f>
        <v/>
      </c>
      <c r="L17" s="8" t="str">
        <f t="array" ref="L17">IFERROR(INDEX(Pivot!$A$4:$E$115,SMALL(IF(Pivot!$A$4:$A$154=Pivot!$B$1,ROW(Pivot!$A$4:$A$100)-3),ROW(A6)),5),"")</f>
        <v/>
      </c>
    </row>
    <row r="18" spans="11:12" x14ac:dyDescent="0.25">
      <c r="K18" t="str">
        <f t="array" ref="K18">IFERROR(INDEX(Pivot!$A$4:$E$115,SMALL(IF(Pivot!$A$4:$A$154=Pivot!$B$1,ROW(Pivot!$A$4:$A$100)-3),ROW(A7)),2),"")</f>
        <v/>
      </c>
      <c r="L18" s="8" t="str">
        <f t="array" ref="L18">IFERROR(INDEX(Pivot!$A$4:$E$115,SMALL(IF(Pivot!$A$4:$A$154=Pivot!$B$1,ROW(Pivot!$A$4:$A$100)-3),ROW(A7)),5),"")</f>
        <v/>
      </c>
    </row>
    <row r="19" spans="11:12" x14ac:dyDescent="0.25">
      <c r="K19" t="str">
        <f t="array" ref="K19">IFERROR(INDEX(Pivot!$A$4:$E$115,SMALL(IF(Pivot!$A$4:$A$154=Pivot!$B$1,ROW(Pivot!$A$4:$A$100)-3),ROW(A8)),2),"")</f>
        <v/>
      </c>
      <c r="L19" s="8" t="str">
        <f t="array" ref="L19">IFERROR(INDEX(Pivot!$A$4:$E$115,SMALL(IF(Pivot!$A$4:$A$154=Pivot!$B$1,ROW(Pivot!$A$4:$A$100)-3),ROW(A8)),5),"")</f>
        <v/>
      </c>
    </row>
    <row r="20" spans="11:12" x14ac:dyDescent="0.25">
      <c r="K20" t="str">
        <f t="array" ref="K20">IFERROR(INDEX(Pivot!$A$4:$E$115,SMALL(IF(Pivot!$A$4:$A$154=Pivot!$B$1,ROW(Pivot!$A$4:$A$100)-3),ROW(A9)),2),"")</f>
        <v/>
      </c>
      <c r="L20" s="8" t="str">
        <f t="array" ref="L20">IFERROR(INDEX(Pivot!$A$4:$E$115,SMALL(IF(Pivot!$A$4:$A$154=Pivot!$B$1,ROW(Pivot!$A$4:$A$100)-3),ROW(A9)),5),"")</f>
        <v/>
      </c>
    </row>
    <row r="21" spans="11:12" x14ac:dyDescent="0.25">
      <c r="K21" t="str">
        <f t="array" ref="K21">IFERROR(INDEX(Pivot!$A$4:$E$115,SMALL(IF(Pivot!$A$4:$A$154=Pivot!$B$1,ROW(Pivot!$A$4:$A$100)-3),ROW(A10)),2),"")</f>
        <v/>
      </c>
      <c r="L21" s="8" t="str">
        <f t="array" ref="L21">IFERROR(INDEX(Pivot!$A$4:$E$115,SMALL(IF(Pivot!$A$4:$A$154=Pivot!$B$1,ROW(Pivot!$A$4:$A$100)-3),ROW(A10)),5),"")</f>
        <v/>
      </c>
    </row>
    <row r="22" spans="11:12" x14ac:dyDescent="0.25">
      <c r="K22" t="str">
        <f t="array" ref="K22">IFERROR(INDEX(Pivot!$A$4:$E$115,SMALL(IF(Pivot!$A$4:$A$154=Pivot!$B$1,ROW(Pivot!$A$4:$A$100)-3),ROW(A11)),2),"")</f>
        <v/>
      </c>
      <c r="L22" s="8" t="str">
        <f t="array" ref="L22">IFERROR(INDEX(Pivot!$A$4:$E$115,SMALL(IF(Pivot!$A$4:$A$154=Pivot!$B$1,ROW(Pivot!$A$4:$A$100)-3),ROW(A11)),5),"")</f>
        <v/>
      </c>
    </row>
    <row r="23" spans="11:12" x14ac:dyDescent="0.25">
      <c r="L23"/>
    </row>
    <row r="24" spans="11:12" x14ac:dyDescent="0.25">
      <c r="L24"/>
    </row>
    <row r="25" spans="11:12" x14ac:dyDescent="0.25">
      <c r="L25"/>
    </row>
    <row r="26" spans="11:12" x14ac:dyDescent="0.25">
      <c r="L26"/>
    </row>
    <row r="27" spans="11:12" x14ac:dyDescent="0.25">
      <c r="L27"/>
    </row>
    <row r="28" spans="11:12" x14ac:dyDescent="0.25">
      <c r="L28"/>
    </row>
    <row r="29" spans="11:12" x14ac:dyDescent="0.25">
      <c r="L29"/>
    </row>
    <row r="30" spans="11:12" x14ac:dyDescent="0.25">
      <c r="L30"/>
    </row>
    <row r="31" spans="11:12" x14ac:dyDescent="0.25">
      <c r="L31"/>
    </row>
    <row r="32" spans="11:12" x14ac:dyDescent="0.25">
      <c r="L32"/>
    </row>
    <row r="33" spans="12:12" x14ac:dyDescent="0.25">
      <c r="L33"/>
    </row>
    <row r="34" spans="12:12" x14ac:dyDescent="0.25">
      <c r="L34"/>
    </row>
    <row r="35" spans="12:12" x14ac:dyDescent="0.25">
      <c r="L35"/>
    </row>
    <row r="36" spans="12:12" x14ac:dyDescent="0.25">
      <c r="L36"/>
    </row>
    <row r="37" spans="12:12" x14ac:dyDescent="0.25">
      <c r="L37"/>
    </row>
    <row r="38" spans="12:12" hidden="1" x14ac:dyDescent="0.25">
      <c r="L38"/>
    </row>
    <row r="39" spans="12:12" hidden="1" x14ac:dyDescent="0.25">
      <c r="L39"/>
    </row>
  </sheetData>
  <mergeCells count="2">
    <mergeCell ref="K2:L2"/>
    <mergeCell ref="D1:G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1032-14E0-4257-9124-12E3CAF3BB6E}">
  <sheetPr codeName="Planilha6"/>
  <dimension ref="A1:B20"/>
  <sheetViews>
    <sheetView showGridLines="0" workbookViewId="0">
      <selection activeCell="A17" sqref="A17"/>
    </sheetView>
  </sheetViews>
  <sheetFormatPr defaultRowHeight="15" x14ac:dyDescent="0.25"/>
  <cols>
    <col min="1" max="1" width="22.42578125" bestFit="1" customWidth="1"/>
    <col min="2" max="2" width="13.28515625" bestFit="1" customWidth="1"/>
  </cols>
  <sheetData>
    <row r="1" spans="1:2" x14ac:dyDescent="0.25">
      <c r="A1" s="3" t="s">
        <v>46</v>
      </c>
    </row>
    <row r="2" spans="1:2" x14ac:dyDescent="0.25">
      <c r="A2" t="s">
        <v>47</v>
      </c>
      <c r="B2" s="4">
        <f>$B$6/4</f>
        <v>500</v>
      </c>
    </row>
    <row r="3" spans="1:2" x14ac:dyDescent="0.25">
      <c r="A3" t="s">
        <v>48</v>
      </c>
      <c r="B3" s="4">
        <f t="shared" ref="B3:B5" si="0">$B$6/4</f>
        <v>500</v>
      </c>
    </row>
    <row r="4" spans="1:2" x14ac:dyDescent="0.25">
      <c r="A4" t="s">
        <v>49</v>
      </c>
      <c r="B4" s="4">
        <f t="shared" si="0"/>
        <v>500</v>
      </c>
    </row>
    <row r="5" spans="1:2" x14ac:dyDescent="0.25">
      <c r="A5" t="s">
        <v>50</v>
      </c>
      <c r="B5" s="4">
        <f t="shared" si="0"/>
        <v>500</v>
      </c>
    </row>
    <row r="6" spans="1:2" x14ac:dyDescent="0.25">
      <c r="A6" t="s">
        <v>51</v>
      </c>
      <c r="B6" s="4">
        <v>2000</v>
      </c>
    </row>
    <row r="9" spans="1:2" x14ac:dyDescent="0.25">
      <c r="A9" s="3" t="s">
        <v>52</v>
      </c>
    </row>
    <row r="10" spans="1:2" x14ac:dyDescent="0.25">
      <c r="A10" t="s">
        <v>53</v>
      </c>
      <c r="B10" s="4">
        <f>SUM(Pivot!E:E)/2</f>
        <v>559.35</v>
      </c>
    </row>
    <row r="11" spans="1:2" x14ac:dyDescent="0.25">
      <c r="A11" t="s">
        <v>54</v>
      </c>
      <c r="B11">
        <v>20</v>
      </c>
    </row>
    <row r="12" spans="1:2" x14ac:dyDescent="0.25">
      <c r="A12" t="s">
        <v>55</v>
      </c>
      <c r="B12" s="5">
        <f>B6*2-(B10+B11)</f>
        <v>3420.65</v>
      </c>
    </row>
    <row r="16" spans="1:2" x14ac:dyDescent="0.25">
      <c r="A16" t="s">
        <v>56</v>
      </c>
    </row>
    <row r="17" spans="1:1" x14ac:dyDescent="0.25">
      <c r="A17" s="7">
        <f>B10/B6</f>
        <v>0.27967500000000001</v>
      </c>
    </row>
    <row r="19" spans="1:1" x14ac:dyDescent="0.25">
      <c r="A19" t="s">
        <v>57</v>
      </c>
    </row>
    <row r="20" spans="1:1" x14ac:dyDescent="0.25">
      <c r="A20">
        <f>SUM(Pivot!C:C)/2</f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44CA-D935-40A7-BEC4-BDF4A6AC6712}">
  <dimension ref="A1:L13"/>
  <sheetViews>
    <sheetView workbookViewId="0">
      <selection activeCell="F9" sqref="F9"/>
    </sheetView>
  </sheetViews>
  <sheetFormatPr defaultRowHeight="15" x14ac:dyDescent="0.25"/>
  <cols>
    <col min="3" max="12" width="4.7109375" customWidth="1"/>
  </cols>
  <sheetData>
    <row r="1" spans="1:12" x14ac:dyDescent="0.25">
      <c r="A1" s="7">
        <f>'Grafico Velocimetro'!$A$17</f>
        <v>0.27967500000000001</v>
      </c>
    </row>
    <row r="4" spans="1:12" x14ac:dyDescent="0.25">
      <c r="C4" s="15">
        <f t="shared" ref="C4:C12" si="0">C5+10/100</f>
        <v>0.90999999999999992</v>
      </c>
      <c r="D4" s="15">
        <f t="shared" ref="D4:D12" si="1">D5+10/100</f>
        <v>0.91999999999999993</v>
      </c>
      <c r="E4" s="15">
        <f t="shared" ref="E4:E12" si="2">E5+10/100</f>
        <v>0.92999999999999994</v>
      </c>
      <c r="F4" s="15">
        <f t="shared" ref="F4:F12" si="3">F5+10/100</f>
        <v>0.94</v>
      </c>
      <c r="G4" s="15">
        <f t="shared" ref="G4:G12" si="4">G5+10/100</f>
        <v>0.94999999999999984</v>
      </c>
      <c r="H4" s="15">
        <f t="shared" ref="H4:H12" si="5">H5+10/100</f>
        <v>0.95999999999999985</v>
      </c>
      <c r="I4" s="15">
        <f t="shared" ref="I4:I12" si="6">I5+10/100</f>
        <v>0.96999999999999986</v>
      </c>
      <c r="J4" s="15">
        <f t="shared" ref="J4:J12" si="7">J5+10/100</f>
        <v>0.97999999999999987</v>
      </c>
      <c r="K4" s="15">
        <f t="shared" ref="K4:K12" si="8">K5+10/100</f>
        <v>0.98999999999999988</v>
      </c>
      <c r="L4" s="15">
        <f t="shared" ref="L4:L12" si="9">L5+10/100</f>
        <v>0.99999999999999989</v>
      </c>
    </row>
    <row r="5" spans="1:12" x14ac:dyDescent="0.25">
      <c r="C5" s="15">
        <f t="shared" si="0"/>
        <v>0.80999999999999994</v>
      </c>
      <c r="D5" s="15">
        <f t="shared" si="1"/>
        <v>0.82</v>
      </c>
      <c r="E5" s="15">
        <f t="shared" si="2"/>
        <v>0.83</v>
      </c>
      <c r="F5" s="15">
        <f t="shared" si="3"/>
        <v>0.84</v>
      </c>
      <c r="G5" s="15">
        <f t="shared" si="4"/>
        <v>0.84999999999999987</v>
      </c>
      <c r="H5" s="15">
        <f t="shared" si="5"/>
        <v>0.85999999999999988</v>
      </c>
      <c r="I5" s="15">
        <f t="shared" si="6"/>
        <v>0.86999999999999988</v>
      </c>
      <c r="J5" s="15">
        <f t="shared" si="7"/>
        <v>0.87999999999999989</v>
      </c>
      <c r="K5" s="15">
        <f t="shared" si="8"/>
        <v>0.8899999999999999</v>
      </c>
      <c r="L5" s="15">
        <f t="shared" si="9"/>
        <v>0.89999999999999991</v>
      </c>
    </row>
    <row r="6" spans="1:12" x14ac:dyDescent="0.25">
      <c r="C6" s="15">
        <f t="shared" si="0"/>
        <v>0.71</v>
      </c>
      <c r="D6" s="15">
        <f t="shared" si="1"/>
        <v>0.72</v>
      </c>
      <c r="E6" s="15">
        <f t="shared" si="2"/>
        <v>0.73</v>
      </c>
      <c r="F6" s="15">
        <f t="shared" si="3"/>
        <v>0.74</v>
      </c>
      <c r="G6" s="15">
        <f t="shared" si="4"/>
        <v>0.74999999999999989</v>
      </c>
      <c r="H6" s="15">
        <f t="shared" si="5"/>
        <v>0.7599999999999999</v>
      </c>
      <c r="I6" s="15">
        <f t="shared" si="6"/>
        <v>0.76999999999999991</v>
      </c>
      <c r="J6" s="15">
        <f t="shared" si="7"/>
        <v>0.77999999999999992</v>
      </c>
      <c r="K6" s="15">
        <f t="shared" si="8"/>
        <v>0.78999999999999992</v>
      </c>
      <c r="L6" s="15">
        <f t="shared" si="9"/>
        <v>0.79999999999999993</v>
      </c>
    </row>
    <row r="7" spans="1:12" x14ac:dyDescent="0.25">
      <c r="C7" s="15">
        <f t="shared" si="0"/>
        <v>0.61</v>
      </c>
      <c r="D7" s="15">
        <f t="shared" si="1"/>
        <v>0.62</v>
      </c>
      <c r="E7" s="15">
        <f t="shared" si="2"/>
        <v>0.63</v>
      </c>
      <c r="F7" s="15">
        <f t="shared" si="3"/>
        <v>0.64</v>
      </c>
      <c r="G7" s="15">
        <f t="shared" si="4"/>
        <v>0.64999999999999991</v>
      </c>
      <c r="H7" s="15">
        <f t="shared" si="5"/>
        <v>0.65999999999999992</v>
      </c>
      <c r="I7" s="15">
        <f t="shared" si="6"/>
        <v>0.66999999999999993</v>
      </c>
      <c r="J7" s="15">
        <f t="shared" si="7"/>
        <v>0.67999999999999994</v>
      </c>
      <c r="K7" s="15">
        <f t="shared" si="8"/>
        <v>0.69</v>
      </c>
      <c r="L7" s="15">
        <f t="shared" si="9"/>
        <v>0.7</v>
      </c>
    </row>
    <row r="8" spans="1:12" x14ac:dyDescent="0.25">
      <c r="C8" s="15">
        <f t="shared" si="0"/>
        <v>0.51</v>
      </c>
      <c r="D8" s="15">
        <f t="shared" si="1"/>
        <v>0.52</v>
      </c>
      <c r="E8" s="15">
        <f t="shared" si="2"/>
        <v>0.53</v>
      </c>
      <c r="F8" s="15">
        <f t="shared" si="3"/>
        <v>0.54</v>
      </c>
      <c r="G8" s="15">
        <f t="shared" si="4"/>
        <v>0.54999999999999993</v>
      </c>
      <c r="H8" s="15">
        <f t="shared" si="5"/>
        <v>0.55999999999999994</v>
      </c>
      <c r="I8" s="15">
        <f t="shared" si="6"/>
        <v>0.56999999999999995</v>
      </c>
      <c r="J8" s="15">
        <f t="shared" si="7"/>
        <v>0.57999999999999996</v>
      </c>
      <c r="K8" s="15">
        <f t="shared" si="8"/>
        <v>0.59</v>
      </c>
      <c r="L8" s="15">
        <f t="shared" si="9"/>
        <v>0.6</v>
      </c>
    </row>
    <row r="9" spans="1:12" x14ac:dyDescent="0.25">
      <c r="C9" s="15">
        <f t="shared" si="0"/>
        <v>0.41000000000000003</v>
      </c>
      <c r="D9" s="15">
        <f t="shared" si="1"/>
        <v>0.42000000000000004</v>
      </c>
      <c r="E9" s="15">
        <f t="shared" si="2"/>
        <v>0.43000000000000005</v>
      </c>
      <c r="F9" s="15">
        <f t="shared" si="3"/>
        <v>0.44000000000000006</v>
      </c>
      <c r="G9" s="15">
        <f t="shared" si="4"/>
        <v>0.44999999999999996</v>
      </c>
      <c r="H9" s="15">
        <f t="shared" si="5"/>
        <v>0.45999999999999996</v>
      </c>
      <c r="I9" s="15">
        <f t="shared" si="6"/>
        <v>0.47</v>
      </c>
      <c r="J9" s="15">
        <f t="shared" si="7"/>
        <v>0.48</v>
      </c>
      <c r="K9" s="15">
        <f t="shared" si="8"/>
        <v>0.49</v>
      </c>
      <c r="L9" s="15">
        <f t="shared" si="9"/>
        <v>0.5</v>
      </c>
    </row>
    <row r="10" spans="1:12" x14ac:dyDescent="0.25">
      <c r="C10" s="15">
        <f t="shared" si="0"/>
        <v>0.31000000000000005</v>
      </c>
      <c r="D10" s="15">
        <f t="shared" si="1"/>
        <v>0.32000000000000006</v>
      </c>
      <c r="E10" s="15">
        <f t="shared" si="2"/>
        <v>0.33</v>
      </c>
      <c r="F10" s="15">
        <f t="shared" si="3"/>
        <v>0.34</v>
      </c>
      <c r="G10" s="15">
        <f t="shared" si="4"/>
        <v>0.35</v>
      </c>
      <c r="H10" s="15">
        <f t="shared" si="5"/>
        <v>0.36</v>
      </c>
      <c r="I10" s="15">
        <f t="shared" si="6"/>
        <v>0.37</v>
      </c>
      <c r="J10" s="15">
        <f t="shared" si="7"/>
        <v>0.38</v>
      </c>
      <c r="K10" s="15">
        <f t="shared" si="8"/>
        <v>0.39</v>
      </c>
      <c r="L10" s="15">
        <f t="shared" si="9"/>
        <v>0.4</v>
      </c>
    </row>
    <row r="11" spans="1:12" x14ac:dyDescent="0.25">
      <c r="C11" s="15">
        <f t="shared" si="0"/>
        <v>0.21000000000000002</v>
      </c>
      <c r="D11" s="15">
        <f t="shared" si="1"/>
        <v>0.22000000000000003</v>
      </c>
      <c r="E11" s="15">
        <f t="shared" si="2"/>
        <v>0.23</v>
      </c>
      <c r="F11" s="15">
        <f t="shared" si="3"/>
        <v>0.24000000000000002</v>
      </c>
      <c r="G11" s="15">
        <f t="shared" si="4"/>
        <v>0.25</v>
      </c>
      <c r="H11" s="15">
        <f t="shared" si="5"/>
        <v>0.26</v>
      </c>
      <c r="I11" s="15">
        <f t="shared" si="6"/>
        <v>0.27</v>
      </c>
      <c r="J11" s="15">
        <f t="shared" si="7"/>
        <v>0.28000000000000003</v>
      </c>
      <c r="K11" s="15">
        <f t="shared" si="8"/>
        <v>0.29000000000000004</v>
      </c>
      <c r="L11" s="15">
        <f t="shared" si="9"/>
        <v>0.30000000000000004</v>
      </c>
    </row>
    <row r="12" spans="1:12" x14ac:dyDescent="0.25">
      <c r="C12" s="15">
        <f>C13+10/100</f>
        <v>0.11</v>
      </c>
      <c r="D12" s="15">
        <f t="shared" ref="D12:L12" si="10">D13+10/100</f>
        <v>0.12000000000000001</v>
      </c>
      <c r="E12" s="15">
        <f t="shared" si="10"/>
        <v>0.13</v>
      </c>
      <c r="F12" s="15">
        <f t="shared" si="10"/>
        <v>0.14000000000000001</v>
      </c>
      <c r="G12" s="15">
        <f t="shared" si="10"/>
        <v>0.15000000000000002</v>
      </c>
      <c r="H12" s="15">
        <f t="shared" si="10"/>
        <v>0.16</v>
      </c>
      <c r="I12" s="15">
        <f t="shared" si="10"/>
        <v>0.17</v>
      </c>
      <c r="J12" s="15">
        <f t="shared" si="10"/>
        <v>0.18</v>
      </c>
      <c r="K12" s="15">
        <f t="shared" si="10"/>
        <v>0.19</v>
      </c>
      <c r="L12" s="15">
        <f t="shared" si="10"/>
        <v>0.2</v>
      </c>
    </row>
    <row r="13" spans="1:12" x14ac:dyDescent="0.25">
      <c r="C13" s="15">
        <v>0.01</v>
      </c>
      <c r="D13" s="15">
        <f>C13+1/100</f>
        <v>0.02</v>
      </c>
      <c r="E13" s="15">
        <f t="shared" ref="E13:L13" si="11">D13+1/100</f>
        <v>0.03</v>
      </c>
      <c r="F13" s="15">
        <f t="shared" si="11"/>
        <v>0.04</v>
      </c>
      <c r="G13" s="15">
        <f t="shared" si="11"/>
        <v>0.05</v>
      </c>
      <c r="H13" s="15">
        <f t="shared" si="11"/>
        <v>6.0000000000000005E-2</v>
      </c>
      <c r="I13" s="15">
        <f t="shared" si="11"/>
        <v>7.0000000000000007E-2</v>
      </c>
      <c r="J13" s="15">
        <f t="shared" si="11"/>
        <v>0.08</v>
      </c>
      <c r="K13" s="15">
        <f t="shared" si="11"/>
        <v>0.09</v>
      </c>
      <c r="L13" s="15">
        <f t="shared" si="11"/>
        <v>9.9999999999999992E-2</v>
      </c>
    </row>
  </sheetData>
  <conditionalFormatting sqref="C4:L13">
    <cfRule type="cellIs" dxfId="0" priority="1" operator="between">
      <formula>0</formula>
      <formula>$A$1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Vendas</vt:lpstr>
      <vt:lpstr>Dados Vendedor</vt:lpstr>
      <vt:lpstr>Imagens</vt:lpstr>
      <vt:lpstr>Pivot</vt:lpstr>
      <vt:lpstr>Dash Vendas</vt:lpstr>
      <vt:lpstr>Grafico Velocimetro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Vitor Alves</cp:lastModifiedBy>
  <dcterms:created xsi:type="dcterms:W3CDTF">2021-08-25T00:58:32Z</dcterms:created>
  <dcterms:modified xsi:type="dcterms:W3CDTF">2026-03-28T02:02:16Z</dcterms:modified>
</cp:coreProperties>
</file>